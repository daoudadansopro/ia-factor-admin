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Synthèse" sheetId="2" state="visible" r:id="rId2"/>
    <sheet name="Paramètres" sheetId="3" state="visible" r:id="rId3"/>
    <sheet name="Coûts" sheetId="4" state="visible" r:id="rId4"/>
    <sheet name="Projection" sheetId="5" state="visible" r:id="rId5"/>
    <sheet name="Bilan" sheetId="6" state="visible" r:id="rId6"/>
    <sheet name="Avances" sheetId="7" state="visible" r:id="rId7"/>
    <sheet name="Suivi réel" sheetId="8" state="visible" r:id="rId8"/>
  </sheets>
  <definedNames>
    <definedName name="_xlnm._FilterDatabase" localSheetId="3" hidden="1">'Coûts'!$A$4:$O$60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#,##0.00 &quot;€&quot;;[Red]-#,##0.00 &quot;€&quot;"/>
    <numFmt numFmtId="166" formatCode="yyyy-mm-dd"/>
    <numFmt numFmtId="167" formatCode="dd/mm/yyyy"/>
    <numFmt numFmtId="168" formatCode="#,##0 &quot;€&quot;;[Red]-#,##0 &quot;€&quot;"/>
    <numFmt numFmtId="169" formatCode="mmm yyyy"/>
    <numFmt numFmtId="170" formatCode="0.0"/>
  </numFmts>
  <fonts count="7">
    <font>
      <name val="Calibri"/>
      <family val="2"/>
      <color theme="1"/>
      <sz val="11"/>
      <scheme val="minor"/>
    </font>
    <font>
      <b val="1"/>
      <color rgb="000F766E"/>
      <sz val="16"/>
    </font>
    <font>
      <b val="1"/>
      <color rgb="000F766E"/>
      <sz val="12"/>
    </font>
    <font>
      <color rgb="001F4FD1"/>
    </font>
    <font>
      <i val="1"/>
      <color rgb="0066666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EEF3FF"/>
      </patternFill>
    </fill>
    <fill>
      <patternFill patternType="solid">
        <fgColor rgb="000F766E"/>
      </patternFill>
    </fill>
    <fill>
      <patternFill patternType="solid">
        <fgColor rgb="00E6F4F1"/>
      </patternFill>
    </fill>
  </fills>
  <borders count="2">
    <border>
      <left/>
      <right/>
      <top/>
      <bottom/>
      <diagonal/>
    </border>
    <border>
      <left style="thin">
        <color rgb="00D0D7D5"/>
      </left>
      <right style="thin">
        <color rgb="00D0D7D5"/>
      </right>
      <top style="thin">
        <color rgb="00D0D7D5"/>
      </top>
      <bottom style="thin">
        <color rgb="00D0D7D5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pivotButton="0" quotePrefix="0" xfId="0"/>
    <xf numFmtId="0" fontId="2" fillId="0" borderId="0" pivotButton="0" quotePrefix="0" xfId="0"/>
    <xf numFmtId="0" fontId="5" fillId="3" borderId="1" applyAlignment="1" pivotButton="0" quotePrefix="0" xfId="0">
      <alignment vertical="center" wrapText="1"/>
    </xf>
    <xf numFmtId="0" fontId="0" fillId="0" borderId="1" pivotButton="0" quotePrefix="0" xfId="0"/>
    <xf numFmtId="168" fontId="0" fillId="0" borderId="1" pivotButton="0" quotePrefix="0" xfId="0"/>
    <xf numFmtId="168" fontId="6" fillId="0" borderId="1" pivotButton="0" quotePrefix="0" xfId="0"/>
    <xf numFmtId="170" fontId="6" fillId="0" borderId="1" pivotButton="0" quotePrefix="0" xfId="0"/>
    <xf numFmtId="0" fontId="4" fillId="0" borderId="0" pivotButton="0" quotePrefix="0" xfId="0"/>
    <xf numFmtId="165" fontId="6" fillId="0" borderId="1" pivotButton="0" quotePrefix="0" xfId="0"/>
    <xf numFmtId="1" fontId="6" fillId="0" borderId="1" pivotButton="0" quotePrefix="0" xfId="0"/>
    <xf numFmtId="164" fontId="6" fillId="0" borderId="1" pivotButton="0" quotePrefix="0" xfId="0"/>
    <xf numFmtId="0" fontId="3" fillId="2" borderId="1" pivotButton="0" quotePrefix="0" xfId="0"/>
    <xf numFmtId="2" fontId="3" fillId="2" borderId="1" pivotButton="0" quotePrefix="0" xfId="0"/>
    <xf numFmtId="1" fontId="3" fillId="2" borderId="1" pivotButton="0" quotePrefix="0" xfId="0"/>
    <xf numFmtId="164" fontId="3" fillId="2" borderId="1" pivotButton="0" quotePrefix="0" xfId="0"/>
    <xf numFmtId="165" fontId="3" fillId="2" borderId="1" pivotButton="0" quotePrefix="0" xfId="0"/>
    <xf numFmtId="165" fontId="0" fillId="0" borderId="1" pivotButton="0" quotePrefix="0" xfId="0"/>
    <xf numFmtId="167" fontId="3" fillId="2" borderId="1" pivotButton="0" quotePrefix="0" xfId="0"/>
    <xf numFmtId="168" fontId="3" fillId="2" borderId="1" pivotButton="0" quotePrefix="0" xfId="0"/>
    <xf numFmtId="4" fontId="3" fillId="2" borderId="1" pivotButton="0" quotePrefix="0" xfId="0"/>
    <xf numFmtId="165" fontId="6" fillId="4" borderId="1" pivotButton="0" quotePrefix="0" xfId="0"/>
    <xf numFmtId="1" fontId="0" fillId="0" borderId="1" pivotButton="0" quotePrefix="0" xfId="0"/>
    <xf numFmtId="169" fontId="0" fillId="0" borderId="1" pivotButton="0" quotePrefix="0" xfId="0"/>
    <xf numFmtId="170" fontId="0" fillId="0" borderId="1" pivotButton="0" quotePrefix="0" xfId="0"/>
    <xf numFmtId="0" fontId="6" fillId="0" borderId="0" pivotButton="0" quotePrefix="0" xfId="0"/>
    <xf numFmtId="168" fontId="6" fillId="4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DE2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IA Factor / AgentIA — suivi financier</t>
        </is>
      </c>
    </row>
    <row r="2">
      <c r="A2" s="2" t="inlineStr">
        <is>
          <t>Associés : Daouda Danso (technique), Régis Pepin (chef de projet). Créé le 04/10/2026 à partir de ia-factor-admin/finances.</t>
        </is>
      </c>
    </row>
    <row r="3">
      <c r="A3" s="2" t="inlineStr"/>
    </row>
    <row r="4">
      <c r="A4" s="3" t="inlineStr">
        <is>
          <t>Onglets</t>
        </is>
      </c>
    </row>
    <row r="5">
      <c r="A5" s="2" t="inlineStr">
        <is>
          <t>Paramètres : scénario actif (pessimiste / central / optimiste), prix des offres, taux, hypothèses de croissance.</t>
        </is>
      </c>
    </row>
    <row r="6">
      <c r="A6" s="2" t="inlineStr">
        <is>
          <t>Coûts : tableau des coûts (frais fixes mensuels, annuels, ponctuels) avec équivalents mensuel et annuel, et qui paie.</t>
        </is>
      </c>
    </row>
    <row r="7">
      <c r="A7" s="2" t="inlineStr">
        <is>
          <t>Avances : dépenses payées personnellement par un associé (futur compte courant d'associé), à rembourser.</t>
        </is>
      </c>
    </row>
    <row r="8">
      <c r="A8" s="2" t="inlineStr">
        <is>
          <t>Projection : 24 mois (oct. 2026 → sept. 2028) : clients, chiffre d'affaires, charges, résultat, apports, trésorerie.</t>
        </is>
      </c>
    </row>
    <row r="9">
      <c r="A9" s="2" t="inlineStr">
        <is>
          <t>Synthèse : chiffres clés par année, seuil de rentabilité, besoin de trésorerie.</t>
        </is>
      </c>
    </row>
    <row r="10">
      <c r="A10" s="2" t="inlineStr">
        <is>
          <t>Bilan : compte de résultat et bilan simplifiés de fin d'année 1 et 2 (vue de gestion).</t>
        </is>
      </c>
    </row>
    <row r="11">
      <c r="A11" s="2" t="inlineStr">
        <is>
          <t>Suivi réel : chaque mois, saisir le réel et comparer à la projection.</t>
        </is>
      </c>
    </row>
    <row r="12">
      <c r="A12" s="2" t="inlineStr"/>
    </row>
    <row r="13">
      <c r="A13" s="3" t="inlineStr">
        <is>
          <t>Mode d'emploi</t>
        </is>
      </c>
    </row>
    <row r="14">
      <c r="A14" s="2" t="inlineStr">
        <is>
          <t>Cellules sur fond bleu clair, texte bleu = valeurs à saisir ou à ajuster. Les autres cellules sont des formules : ne pas les écraser.</t>
        </is>
      </c>
    </row>
    <row r="15">
      <c r="A15" s="2" t="inlineStr">
        <is>
          <t>Changer de scénario : Paramètres → « Scénario actif ». Tous les onglets se recalculent.</t>
        </is>
      </c>
    </row>
    <row r="16">
      <c r="A16" s="2" t="inlineStr">
        <is>
          <t>Ajouter un coût : Coûts → remplir une ligne vide du tableau (type Mensuel, Annuel ou Ponctuel, Inclus = Oui, date de début).</t>
        </is>
      </c>
    </row>
    <row r="17">
      <c r="A17" s="2" t="inlineStr">
        <is>
          <t>Community manager, expert-comptable, société : présents dans Coûts avec Inclus = Non. Passer à Oui quand c'est décidé.</t>
        </is>
      </c>
    </row>
    <row r="18">
      <c r="A18" s="2" t="inlineStr">
        <is>
          <t>Google Drive : Nouveau → Importer un fichier, puis Ouvrir avec Google Sheets (ou activer « Convertir les fichiers importés »).</t>
        </is>
      </c>
    </row>
    <row r="19">
      <c r="A19" s="2" t="inlineStr"/>
    </row>
    <row r="20">
      <c r="A20" s="3" t="inlineStr">
        <is>
          <t>Avertissements</t>
        </is>
      </c>
    </row>
    <row r="21">
      <c r="A21" s="2" t="inlineStr">
        <is>
          <t>Projections, pas prévisions. Résultats avant impôt sur le revenu, sans rémunération du temps des associés.</t>
        </is>
      </c>
    </row>
    <row r="22">
      <c r="A22" s="2" t="inlineStr">
        <is>
          <t>Taux de cotisations, seuils de TVA et tarifs marqués « à vérifier » : à confirmer (urssaf.fr, impots.gouv.fr, factures).</t>
        </is>
      </c>
    </row>
    <row r="23">
      <c r="A23" s="2" t="inlineStr">
        <is>
          <t>Le « bilan » est une vue de gestion : une micro-entreprise n'établit pas de bilan comptable ; une société, si.</t>
        </is>
      </c>
    </row>
    <row r="24">
      <c r="A24" s="2" t="inlineStr">
        <is>
          <t>Montants en dollars convertis avec le taux de Paramètres (1 $ = 0,92 € par défaut).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3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6" customWidth="1" min="3" max="3"/>
    <col width="16" customWidth="1" min="4" max="4"/>
    <col width="16" customWidth="1" min="5" max="5"/>
    <col width="50" customWidth="1" min="6" max="6"/>
  </cols>
  <sheetData>
    <row r="1">
      <c r="B1" s="4" t="inlineStr">
        <is>
          <t>Synthèse</t>
        </is>
      </c>
    </row>
    <row r="2">
      <c r="B2" s="5">
        <f>"Scénario : "&amp;'Paramètres'!C3</f>
        <v/>
      </c>
    </row>
    <row r="4">
      <c r="B4" s="6" t="inlineStr">
        <is>
          <t>Indicateur</t>
        </is>
      </c>
      <c r="C4" s="6" t="inlineStr">
        <is>
          <t>Année 1</t>
        </is>
      </c>
      <c r="D4" s="6" t="inlineStr">
        <is>
          <t>Année 2</t>
        </is>
      </c>
      <c r="E4" s="6" t="inlineStr">
        <is>
          <t>Total 24 mois</t>
        </is>
      </c>
      <c r="F4" s="6" t="inlineStr">
        <is>
          <t>Lecture</t>
        </is>
      </c>
    </row>
    <row r="5">
      <c r="B5" s="7" t="inlineStr">
        <is>
          <t>Chiffre d'affaires — installations</t>
        </is>
      </c>
      <c r="C5" s="8">
        <f>SUMIFS('Projection'!$J$5:$J$28,'Projection'!$C$5:$C$28,"Année 1")</f>
        <v/>
      </c>
      <c r="D5" s="8">
        <f>SUMIFS('Projection'!$J$5:$J$28,'Projection'!$C$5:$C$28,"Année 2")</f>
        <v/>
      </c>
      <c r="E5" s="8">
        <f>C5+D5</f>
        <v/>
      </c>
    </row>
    <row r="6">
      <c r="B6" s="7" t="inlineStr">
        <is>
          <t>Chiffre d'affaires — abonnements</t>
        </is>
      </c>
      <c r="C6" s="8">
        <f>SUMIFS('Projection'!$K$5:$K$28,'Projection'!$C$5:$C$28,"Année 1")</f>
        <v/>
      </c>
      <c r="D6" s="8">
        <f>SUMIFS('Projection'!$K$5:$K$28,'Projection'!$C$5:$C$28,"Année 2")</f>
        <v/>
      </c>
      <c r="E6" s="8">
        <f>C6+D6</f>
        <v/>
      </c>
    </row>
    <row r="7">
      <c r="B7" s="7" t="inlineStr">
        <is>
          <t>Chiffre d'affaires total</t>
        </is>
      </c>
      <c r="C7" s="9">
        <f>SUMIFS('Projection'!$L$5:$L$28,'Projection'!$C$5:$C$28,"Année 1")</f>
        <v/>
      </c>
      <c r="D7" s="9">
        <f>SUMIFS('Projection'!$L$5:$L$28,'Projection'!$C$5:$C$28,"Année 2")</f>
        <v/>
      </c>
      <c r="E7" s="9">
        <f>C7+D7</f>
        <v/>
      </c>
    </row>
    <row r="8">
      <c r="B8" s="7" t="inlineStr">
        <is>
          <t>Coûts variables (IA par client…)</t>
        </is>
      </c>
      <c r="C8" s="8">
        <f>SUMIFS('Projection'!$M$5:$M$28,'Projection'!$C$5:$C$28,"Année 1")</f>
        <v/>
      </c>
      <c r="D8" s="8">
        <f>SUMIFS('Projection'!$M$5:$M$28,'Projection'!$C$5:$C$28,"Année 2")</f>
        <v/>
      </c>
      <c r="E8" s="8">
        <f>C8+D8</f>
        <v/>
      </c>
    </row>
    <row r="9">
      <c r="B9" s="7" t="inlineStr">
        <is>
          <t>Frais Stripe</t>
        </is>
      </c>
      <c r="C9" s="8">
        <f>SUMIFS('Projection'!$N$5:$N$28,'Projection'!$C$5:$C$28,"Année 1")</f>
        <v/>
      </c>
      <c r="D9" s="8">
        <f>SUMIFS('Projection'!$N$5:$N$28,'Projection'!$C$5:$C$28,"Année 2")</f>
        <v/>
      </c>
      <c r="E9" s="8">
        <f>C9+D9</f>
        <v/>
      </c>
    </row>
    <row r="10">
      <c r="B10" s="7" t="inlineStr">
        <is>
          <t>Frais fixes</t>
        </is>
      </c>
      <c r="C10" s="8">
        <f>SUMIFS('Projection'!$O$5:$O$28,'Projection'!$C$5:$C$28,"Année 1")</f>
        <v/>
      </c>
      <c r="D10" s="8">
        <f>SUMIFS('Projection'!$O$5:$O$28,'Projection'!$C$5:$C$28,"Année 2")</f>
        <v/>
      </c>
      <c r="E10" s="8">
        <f>C10+D10</f>
        <v/>
      </c>
    </row>
    <row r="11">
      <c r="B11" s="7" t="inlineStr">
        <is>
          <t>Dépenses ponctuelles (démarches, kit…)</t>
        </is>
      </c>
      <c r="C11" s="8">
        <f>SUMIFS('Projection'!$P$5:$P$28,'Projection'!$C$5:$C$28,"Année 1")</f>
        <v/>
      </c>
      <c r="D11" s="8">
        <f>SUMIFS('Projection'!$P$5:$P$28,'Projection'!$C$5:$C$28,"Année 2")</f>
        <v/>
      </c>
      <c r="E11" s="8">
        <f>C11+D11</f>
        <v/>
      </c>
    </row>
    <row r="12">
      <c r="B12" s="7" t="inlineStr">
        <is>
          <t>Cotisations sociales et impôt</t>
        </is>
      </c>
      <c r="C12" s="8">
        <f>SUMIFS('Projection'!$Q$5:$Q$28,'Projection'!$C$5:$C$28,"Année 1")</f>
        <v/>
      </c>
      <c r="D12" s="8">
        <f>SUMIFS('Projection'!$Q$5:$Q$28,'Projection'!$C$5:$C$28,"Année 2")</f>
        <v/>
      </c>
      <c r="E12" s="8">
        <f>C12+D12</f>
        <v/>
      </c>
    </row>
    <row r="13">
      <c r="B13" s="7" t="inlineStr">
        <is>
          <t>Résultat</t>
        </is>
      </c>
      <c r="C13" s="9">
        <f>SUMIFS('Projection'!$R$5:$R$28,'Projection'!$C$5:$C$28,"Année 1")</f>
        <v/>
      </c>
      <c r="D13" s="9">
        <f>SUMIFS('Projection'!$R$5:$R$28,'Projection'!$C$5:$C$28,"Année 2")</f>
        <v/>
      </c>
      <c r="E13" s="9">
        <f>C13+D13</f>
        <v/>
      </c>
    </row>
    <row r="14">
      <c r="B14" s="7" t="inlineStr">
        <is>
          <t>Apports des associés</t>
        </is>
      </c>
      <c r="C14" s="8">
        <f>SUMIFS('Projection'!$S$5:$S$28,'Projection'!$C$5:$C$28,"Année 1")</f>
        <v/>
      </c>
      <c r="D14" s="8">
        <f>SUMIFS('Projection'!$S$5:$S$28,'Projection'!$C$5:$C$28,"Année 2")</f>
        <v/>
      </c>
      <c r="E14" s="8">
        <f>C14+D14</f>
        <v/>
      </c>
    </row>
    <row r="16">
      <c r="B16" s="7" t="inlineStr">
        <is>
          <t>Clients Entreprise actifs en fin d'année</t>
        </is>
      </c>
      <c r="C16" s="10">
        <f>'Projection'!E16</f>
        <v/>
      </c>
      <c r="D16" s="10">
        <f>'Projection'!E28</f>
        <v/>
      </c>
      <c r="F16" s="11" t="inlineStr"/>
    </row>
    <row r="17">
      <c r="B17" s="7" t="inlineStr">
        <is>
          <t>Revenu mensuel récurrent en fin d'année</t>
        </is>
      </c>
      <c r="C17" s="9">
        <f>'Projection'!K16</f>
        <v/>
      </c>
      <c r="D17" s="9">
        <f>'Projection'!K28</f>
        <v/>
      </c>
      <c r="F17" s="11" t="inlineStr">
        <is>
          <t>Abonnements du dernier mois</t>
        </is>
      </c>
    </row>
    <row r="18">
      <c r="B18" s="7" t="inlineStr">
        <is>
          <t>Trésorerie en fin d'année</t>
        </is>
      </c>
      <c r="C18" s="9">
        <f>'Projection'!T16</f>
        <v/>
      </c>
      <c r="D18" s="9">
        <f>'Projection'!T28</f>
        <v/>
      </c>
      <c r="F18" s="11" t="inlineStr">
        <is>
          <t>Rouge = à financer par des apports</t>
        </is>
      </c>
    </row>
    <row r="19">
      <c r="B19" s="7" t="inlineStr">
        <is>
          <t>Besoin de trésorerie maximum (creux)</t>
        </is>
      </c>
      <c r="C19" s="9">
        <f>MAX(0,-MIN('Projection'!T5:T16))</f>
        <v/>
      </c>
      <c r="D19" s="9">
        <f>MAX(0,-MIN('Projection'!T5:T28))</f>
        <v/>
      </c>
      <c r="F19" s="11" t="inlineStr">
        <is>
          <t>Apport minimum à prévoir</t>
        </is>
      </c>
    </row>
    <row r="20">
      <c r="B20" s="7" t="inlineStr">
        <is>
          <t>Marge par client Entreprise (€/mois)</t>
        </is>
      </c>
      <c r="C20" s="12">
        <f>'Paramètres'!$D$19-'Paramètres'!$C$11-'Paramètres'!$D$19*'Paramètres'!$C$24-'Paramètres'!$C$25-'Paramètres'!$D$19*('Paramètres'!$C$26+'Paramètres'!$C$27)</f>
        <v/>
      </c>
      <c r="F20" s="11" t="inlineStr">
        <is>
          <t>Abonnement − coût variable − Stripe − cotisations</t>
        </is>
      </c>
    </row>
    <row r="21">
      <c r="B21" s="7" t="inlineStr">
        <is>
          <t>Frais fixes actuels (€/mois)</t>
        </is>
      </c>
      <c r="C21" s="12">
        <f>'Coûts'!$C$65</f>
        <v/>
      </c>
      <c r="F21" s="11" t="inlineStr">
        <is>
          <t>Onglet Coûts, lignes incluses</t>
        </is>
      </c>
    </row>
    <row r="22">
      <c r="B22" s="7" t="inlineStr">
        <is>
          <t>Seuil de rentabilité (clients Entreprise)</t>
        </is>
      </c>
      <c r="C22" s="13">
        <f>ROUNDUP(C21/C20,0)</f>
        <v/>
      </c>
      <c r="F22" s="11" t="inlineStr">
        <is>
          <t>Clients nécessaires pour couvrir les frais fixes</t>
        </is>
      </c>
    </row>
    <row r="23">
      <c r="B23" s="7" t="inlineStr">
        <is>
          <t>CA annuel vs seuil de franchise de TVA</t>
        </is>
      </c>
      <c r="C23" s="14">
        <f>C7/'Paramètres'!$C$29</f>
        <v/>
      </c>
      <c r="D23" s="14">
        <f>D7/'Paramètres'!$C$29</f>
        <v/>
      </c>
      <c r="F23" s="11" t="inlineStr">
        <is>
          <t>Au-delà de 100 % : TVA à facturer</t>
        </is>
      </c>
    </row>
  </sheetData>
  <conditionalFormatting sqref="C18:D18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16" customWidth="1" min="3" max="3"/>
    <col width="14" customWidth="1" min="4" max="4"/>
    <col width="14" customWidth="1" min="5" max="5"/>
    <col width="14" customWidth="1" min="6" max="6"/>
    <col width="60" customWidth="1" min="7" max="7"/>
  </cols>
  <sheetData>
    <row r="1">
      <c r="B1" s="4" t="inlineStr">
        <is>
          <t>Paramètres et hypothèses</t>
        </is>
      </c>
    </row>
    <row r="3">
      <c r="B3" t="inlineStr">
        <is>
          <t>Scénario actif</t>
        </is>
      </c>
      <c r="C3" s="15" t="inlineStr">
        <is>
          <t>Central</t>
        </is>
      </c>
    </row>
    <row r="4">
      <c r="B4" t="inlineStr">
        <is>
          <t>Index du scénario</t>
        </is>
      </c>
      <c r="C4" s="7">
        <f>MATCH(C3,D7:F7,0)</f>
        <v/>
      </c>
    </row>
    <row r="5">
      <c r="B5" t="inlineStr">
        <is>
          <t>Taux de change (1 $ en €)</t>
        </is>
      </c>
      <c r="C5" s="16" t="n">
        <v>0.92</v>
      </c>
      <c r="G5" s="11" t="inlineStr">
        <is>
          <t>À ajuster au cours du jour</t>
        </is>
      </c>
    </row>
    <row r="7">
      <c r="B7" s="6" t="inlineStr">
        <is>
          <t>Hypothèse de croissance</t>
        </is>
      </c>
      <c r="C7" s="6" t="inlineStr">
        <is>
          <t>Valeur retenue</t>
        </is>
      </c>
      <c r="D7" s="6" t="inlineStr">
        <is>
          <t>Pessimiste</t>
        </is>
      </c>
      <c r="E7" s="6" t="inlineStr">
        <is>
          <t>Central</t>
        </is>
      </c>
      <c r="F7" s="6" t="inlineStr">
        <is>
          <t>Optimiste</t>
        </is>
      </c>
      <c r="G7" s="6" t="inlineStr">
        <is>
          <t>Remarque</t>
        </is>
      </c>
    </row>
    <row r="8">
      <c r="B8" s="7" t="inlineStr">
        <is>
          <t>Mois du 1er client Entreprise payant (M1 = oct. 2026)</t>
        </is>
      </c>
      <c r="C8" s="13">
        <f>INDEX(D8:F8,$C$4)</f>
        <v/>
      </c>
      <c r="D8" s="17" t="n">
        <v>4</v>
      </c>
      <c r="E8" s="17" t="n">
        <v>3</v>
      </c>
      <c r="F8" s="17" t="n">
        <v>3</v>
      </c>
      <c r="G8" s="11" t="inlineStr">
        <is>
          <t>Oct.–nov. 2026 : pilotes gratuits</t>
        </is>
      </c>
    </row>
    <row r="9">
      <c r="B9" s="7" t="inlineStr">
        <is>
          <t>Nouveaux clients Entreprise par mois</t>
        </is>
      </c>
      <c r="C9" s="13">
        <f>INDEX(D9:F9,$C$4)</f>
        <v/>
      </c>
      <c r="D9" s="17" t="n">
        <v>1</v>
      </c>
      <c r="E9" s="17" t="n">
        <v>2</v>
      </c>
      <c r="F9" s="17" t="n">
        <v>4</v>
      </c>
      <c r="G9" s="11" t="inlineStr">
        <is>
          <t>Rythme de signature : indicateur porté par Régis</t>
        </is>
      </c>
    </row>
    <row r="10">
      <c r="B10" s="7" t="inlineStr">
        <is>
          <t>Résiliation mensuelle</t>
        </is>
      </c>
      <c r="C10" s="14">
        <f>INDEX(D10:F10,$C$4)</f>
        <v/>
      </c>
      <c r="D10" s="18" t="n">
        <v>0.04</v>
      </c>
      <c r="E10" s="18" t="n">
        <v>0.02</v>
      </c>
      <c r="F10" s="18" t="n">
        <v>0.01</v>
      </c>
      <c r="G10" s="11" t="inlineStr"/>
    </row>
    <row r="11">
      <c r="B11" s="7" t="inlineStr">
        <is>
          <t>Coût variable par client Entreprise (€/mois)</t>
        </is>
      </c>
      <c r="C11" s="12">
        <f>INDEX(D11:F11,$C$4)</f>
        <v/>
      </c>
      <c r="D11" s="19" t="n">
        <v>10</v>
      </c>
      <c r="E11" s="19" t="n">
        <v>6</v>
      </c>
      <c r="F11" s="19" t="n">
        <v>4</v>
      </c>
      <c r="G11" s="11" t="inlineStr">
        <is>
          <t>IA Claude (mesuré ~0,2 centime/message), rappels</t>
        </is>
      </c>
    </row>
    <row r="12">
      <c r="B12" s="7" t="inlineStr">
        <is>
          <t>Majoration des coûts fixes (€/mois)</t>
        </is>
      </c>
      <c r="C12" s="12">
        <f>INDEX(D12:F12,$C$4)</f>
        <v/>
      </c>
      <c r="D12" s="19" t="n">
        <v>10</v>
      </c>
      <c r="E12" s="19" t="n">
        <v>0</v>
      </c>
      <c r="F12" s="19" t="n">
        <v>0</v>
      </c>
      <c r="G12" s="11" t="inlineStr">
        <is>
          <t>Marge de prudence</t>
        </is>
      </c>
    </row>
    <row r="13">
      <c r="B13" s="7" t="inlineStr">
        <is>
          <t>Mois de lancement Particulier / AideHandicap</t>
        </is>
      </c>
      <c r="C13" s="13">
        <f>INDEX(D13:F13,$C$4)</f>
        <v/>
      </c>
      <c r="D13" s="17" t="n">
        <v>12</v>
      </c>
      <c r="E13" s="17" t="n">
        <v>9</v>
      </c>
      <c r="F13" s="17" t="n">
        <v>6</v>
      </c>
      <c r="G13" s="11" t="inlineStr">
        <is>
          <t>Bots à créer ; offres codées, validation juridique obtenue</t>
        </is>
      </c>
    </row>
    <row r="14">
      <c r="B14" s="7" t="inlineStr">
        <is>
          <t>Nouveaux utilisateurs Particulier par mois</t>
        </is>
      </c>
      <c r="C14" s="13">
        <f>INDEX(D14:F14,$C$4)</f>
        <v/>
      </c>
      <c r="D14" s="17" t="n">
        <v>0</v>
      </c>
      <c r="E14" s="17" t="n">
        <v>0</v>
      </c>
      <c r="F14" s="17" t="n">
        <v>0</v>
      </c>
      <c r="G14" s="11" t="inlineStr">
        <is>
          <t>À estimer avant lancement</t>
        </is>
      </c>
    </row>
    <row r="15">
      <c r="B15" s="7" t="inlineStr">
        <is>
          <t>Nouveaux utilisateurs AideHandicap par mois</t>
        </is>
      </c>
      <c r="C15" s="13">
        <f>INDEX(D15:F15,$C$4)</f>
        <v/>
      </c>
      <c r="D15" s="17" t="n">
        <v>0</v>
      </c>
      <c r="E15" s="17" t="n">
        <v>0</v>
      </c>
      <c r="F15" s="17" t="n">
        <v>0</v>
      </c>
      <c r="G15" s="11" t="inlineStr">
        <is>
          <t>À estimer avant lancement</t>
        </is>
      </c>
    </row>
    <row r="18">
      <c r="B18" s="6" t="inlineStr">
        <is>
          <t>Offre</t>
        </is>
      </c>
      <c r="C18" s="6" t="inlineStr">
        <is>
          <t>Installation (€)</t>
        </is>
      </c>
      <c r="D18" s="6" t="inlineStr">
        <is>
          <t>Abonnement (€/mois)</t>
        </is>
      </c>
      <c r="E18" s="6" t="inlineStr">
        <is>
          <t>Coût variable (€/mois)</t>
        </is>
      </c>
      <c r="F18" s="6" t="inlineStr"/>
      <c r="G18" s="6" t="inlineStr">
        <is>
          <t>Remarque</t>
        </is>
      </c>
    </row>
    <row r="19">
      <c r="B19" s="7" t="inlineStr">
        <is>
          <t>Entreprise (TPE/PME)</t>
        </is>
      </c>
      <c r="C19" s="19" t="n">
        <v>199</v>
      </c>
      <c r="D19" s="19" t="n">
        <v>30</v>
      </c>
      <c r="E19" s="20">
        <f>$C$11</f>
        <v/>
      </c>
      <c r="G19" s="11" t="inlineStr">
        <is>
          <t>Pilotes gratuits ; tarif standard ensuite</t>
        </is>
      </c>
    </row>
    <row r="20">
      <c r="B20" s="7" t="inlineStr">
        <is>
          <t>Particulier</t>
        </is>
      </c>
      <c r="C20" s="19" t="n">
        <v>149</v>
      </c>
      <c r="D20" s="19" t="n">
        <v>20</v>
      </c>
      <c r="E20" s="19" t="n">
        <v>3</v>
      </c>
      <c r="G20" s="11" t="inlineStr">
        <is>
          <t>Prix de la présentation initiale, à confirmer</t>
        </is>
      </c>
    </row>
    <row r="21">
      <c r="B21" s="7" t="inlineStr">
        <is>
          <t>AideHandicap</t>
        </is>
      </c>
      <c r="C21" s="19" t="n">
        <v>149</v>
      </c>
      <c r="D21" s="19" t="n">
        <v>20</v>
      </c>
      <c r="E21" s="19" t="n">
        <v>3</v>
      </c>
      <c r="G21" s="11" t="inlineStr">
        <is>
          <t>Prix de la présentation initiale, à confirmer</t>
        </is>
      </c>
    </row>
    <row r="23">
      <c r="B23" s="6" t="inlineStr">
        <is>
          <t>Taux et dates</t>
        </is>
      </c>
      <c r="C23" s="6" t="inlineStr">
        <is>
          <t>Valeur</t>
        </is>
      </c>
      <c r="D23" s="6" t="inlineStr"/>
      <c r="E23" s="6" t="inlineStr"/>
      <c r="F23" s="6" t="inlineStr"/>
      <c r="G23" s="6" t="inlineStr">
        <is>
          <t>Remarque</t>
        </is>
      </c>
    </row>
    <row r="24">
      <c r="B24" s="7" t="inlineStr">
        <is>
          <t>Frais Stripe (% du paiement)</t>
        </is>
      </c>
      <c r="C24" s="18" t="n">
        <v>0.015</v>
      </c>
      <c r="G24" s="11" t="inlineStr">
        <is>
          <t>Cartes UE, à vérifier</t>
        </is>
      </c>
    </row>
    <row r="25">
      <c r="B25" s="7" t="inlineStr">
        <is>
          <t>Frais Stripe fixes par paiement (€)</t>
        </is>
      </c>
      <c r="C25" s="19" t="n">
        <v>0.25</v>
      </c>
      <c r="G25" s="11" t="inlineStr">
        <is>
          <t>À vérifier</t>
        </is>
      </c>
    </row>
    <row r="26">
      <c r="B26" s="7" t="inlineStr">
        <is>
          <t>Cotisations sociales micro-entreprise (% du CA)</t>
        </is>
      </c>
      <c r="C26" s="18" t="n">
        <v>0.212</v>
      </c>
      <c r="G26" s="11" t="inlineStr">
        <is>
          <t>Prestations de services : à vérifier sur urssaf.fr</t>
        </is>
      </c>
    </row>
    <row r="27">
      <c r="B27" s="7" t="inlineStr">
        <is>
          <t>Versement libératoire de l'impôt (% du CA, option)</t>
        </is>
      </c>
      <c r="C27" s="18" t="n">
        <v>0</v>
      </c>
      <c r="G27" s="11" t="inlineStr">
        <is>
          <t>1,7 % si l'option est prise ; 0 sinon</t>
        </is>
      </c>
    </row>
    <row r="28">
      <c r="B28" s="7" t="inlineStr">
        <is>
          <t>Début de la projection</t>
        </is>
      </c>
      <c r="C28" s="21" t="n">
        <v>46296</v>
      </c>
      <c r="G28" s="11" t="inlineStr">
        <is>
          <t>M1</t>
        </is>
      </c>
    </row>
    <row r="29">
      <c r="B29" s="7" t="inlineStr">
        <is>
          <t>Seuil de franchise de TVA (services, €/an)</t>
        </is>
      </c>
      <c r="C29" s="22" t="n">
        <v>37500</v>
      </c>
      <c r="G29" s="11" t="inlineStr">
        <is>
          <t>À vérifier : au-delà, facturer la TVA</t>
        </is>
      </c>
    </row>
  </sheetData>
  <dataValidations count="1">
    <dataValidation sqref="C3" showDropDown="0" showInputMessage="0" showErrorMessage="0" allowBlank="0" type="list">
      <formula1>"Pessimiste,Central,Optimiste"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4" customWidth="1" min="2" max="2"/>
    <col width="14" customWidth="1" min="3" max="3"/>
    <col width="11" customWidth="1" min="4" max="4"/>
    <col width="11" customWidth="1" min="5" max="5"/>
    <col width="8" customWidth="1" min="6" max="6"/>
    <col width="13" customWidth="1" min="7" max="7"/>
    <col width="14" customWidth="1" min="8" max="8"/>
    <col width="14" customWidth="1" min="9" max="9"/>
    <col width="9" customWidth="1" min="10" max="10"/>
    <col width="12" customWidth="1" min="11" max="11"/>
    <col width="12" customWidth="1" min="12" max="12"/>
    <col width="11" customWidth="1" min="13" max="13"/>
    <col width="13" customWidth="1" min="14" max="14"/>
    <col width="60" customWidth="1" min="15" max="15"/>
  </cols>
  <sheetData>
    <row r="1">
      <c r="A1" s="4" t="inlineStr">
        <is>
          <t>Tableau des coûts</t>
        </is>
      </c>
    </row>
    <row r="2">
      <c r="A2" s="11" t="inlineStr">
        <is>
          <t>Type : Mensuel, Annuel, Ponctuel (une fois, au mois de la date de début) ou Variable (par client, voir Paramètres). Inclus = Non : ignoré dans les totaux et la projection.</t>
        </is>
      </c>
    </row>
    <row r="4">
      <c r="A4" s="6" t="inlineStr">
        <is>
          <t>Catégorie</t>
        </is>
      </c>
      <c r="B4" s="6" t="inlineStr">
        <is>
          <t>Poste</t>
        </is>
      </c>
      <c r="C4" s="6" t="inlineStr">
        <is>
          <t>Fournisseur</t>
        </is>
      </c>
      <c r="D4" s="6" t="inlineStr">
        <is>
          <t>Type</t>
        </is>
      </c>
      <c r="E4" s="6" t="inlineStr">
        <is>
          <t>Montant</t>
        </is>
      </c>
      <c r="F4" s="6" t="inlineStr">
        <is>
          <t>Devise</t>
        </is>
      </c>
      <c r="G4" s="6" t="inlineStr">
        <is>
          <t>Montant (€)</t>
        </is>
      </c>
      <c r="H4" s="6" t="inlineStr">
        <is>
          <t>Équiv. mensuel (€)</t>
        </is>
      </c>
      <c r="I4" s="6" t="inlineStr">
        <is>
          <t>Équiv. annuel (€)</t>
        </is>
      </c>
      <c r="J4" s="6" t="inlineStr">
        <is>
          <t>Inclus</t>
        </is>
      </c>
      <c r="K4" s="6" t="inlineStr">
        <is>
          <t>Début</t>
        </is>
      </c>
      <c r="L4" s="6" t="inlineStr">
        <is>
          <t>Fin</t>
        </is>
      </c>
      <c r="M4" s="6" t="inlineStr">
        <is>
          <t>Payé par</t>
        </is>
      </c>
      <c r="N4" s="6" t="inlineStr">
        <is>
          <t>Statut</t>
        </is>
      </c>
      <c r="O4" s="6" t="inlineStr">
        <is>
          <t>Remarque</t>
        </is>
      </c>
    </row>
    <row r="5">
      <c r="A5" s="7" t="inlineStr">
        <is>
          <t>Infrastructure</t>
        </is>
      </c>
      <c r="B5" s="7" t="inlineStr">
        <is>
          <t>VPS KVM 2 (2 vCPU, 8 Go)</t>
        </is>
      </c>
      <c r="C5" s="7" t="inlineStr">
        <is>
          <t>Hostinger</t>
        </is>
      </c>
      <c r="D5" s="15" t="inlineStr">
        <is>
          <t>Mensuel</t>
        </is>
      </c>
      <c r="E5" s="23" t="n">
        <v>24.49</v>
      </c>
      <c r="F5" s="15" t="inlineStr">
        <is>
          <t>$</t>
        </is>
      </c>
      <c r="G5" s="20">
        <f>IF(E5="","",IF(F5="$",E5*'Paramètres'!$C$5,E5))</f>
        <v/>
      </c>
      <c r="H5" s="20">
        <f>IF(J5&lt;&gt;"Oui",0,IF(D5="Mensuel",G5,IF(D5="Annuel",G5/12,0)))</f>
        <v/>
      </c>
      <c r="I5" s="20">
        <f>IF(J5&lt;&gt;"Oui",0,IF(D5="Ponctuel",G5,H5*12))</f>
        <v/>
      </c>
      <c r="J5" s="15" t="inlineStr">
        <is>
          <t>Oui</t>
        </is>
      </c>
      <c r="K5" s="21" t="n">
        <v>46291</v>
      </c>
      <c r="L5" s="21" t="n"/>
      <c r="M5" s="15" t="inlineStr">
        <is>
          <t>Daouda</t>
        </is>
      </c>
      <c r="N5" s="15" t="inlineStr">
        <is>
          <t>Engagé</t>
        </is>
      </c>
      <c r="O5" s="11" t="inlineStr">
        <is>
          <t>Prélevé le 26 de chaque mois ; comparer avec un engagement 12/24 mois</t>
        </is>
      </c>
    </row>
    <row r="6">
      <c r="A6" s="7" t="inlineStr">
        <is>
          <t>Infrastructure</t>
        </is>
      </c>
      <c r="B6" s="7" t="inlineStr">
        <is>
          <t>Domaine ia-factor.fr</t>
        </is>
      </c>
      <c r="C6" s="7" t="inlineStr">
        <is>
          <t>Hostinger</t>
        </is>
      </c>
      <c r="D6" s="15" t="inlineStr">
        <is>
          <t>Annuel</t>
        </is>
      </c>
      <c r="E6" s="23" t="n">
        <v>12.99</v>
      </c>
      <c r="F6" s="15" t="inlineStr">
        <is>
          <t>$</t>
        </is>
      </c>
      <c r="G6" s="20">
        <f>IF(E6="","",IF(F6="$",E6*'Paramètres'!$C$5,E6))</f>
        <v/>
      </c>
      <c r="H6" s="20">
        <f>IF(J6&lt;&gt;"Oui",0,IF(D6="Mensuel",G6,IF(D6="Annuel",G6/12,0)))</f>
        <v/>
      </c>
      <c r="I6" s="20">
        <f>IF(J6&lt;&gt;"Oui",0,IF(D6="Ponctuel",G6,H6*12))</f>
        <v/>
      </c>
      <c r="J6" s="15" t="inlineStr">
        <is>
          <t>Oui</t>
        </is>
      </c>
      <c r="K6" s="21" t="n">
        <v>46291</v>
      </c>
      <c r="L6" s="21" t="n"/>
      <c r="M6" s="15" t="inlineStr">
        <is>
          <t>Daouda</t>
        </is>
      </c>
      <c r="N6" s="15" t="inlineStr">
        <is>
          <t>Payé</t>
        </is>
      </c>
      <c r="O6" s="11" t="inlineStr">
        <is>
          <t>Renouvellement automatique le 30/08/2027 ; montant 1re année à renseigner</t>
        </is>
      </c>
    </row>
    <row r="7">
      <c r="A7" s="7" t="inlineStr">
        <is>
          <t>Infrastructure</t>
        </is>
      </c>
      <c r="B7" s="7" t="inlineStr">
        <is>
          <t>Domaine ia-factor.com</t>
        </is>
      </c>
      <c r="C7" s="7" t="inlineStr">
        <is>
          <t>IONOS</t>
        </is>
      </c>
      <c r="D7" s="15" t="inlineStr">
        <is>
          <t>Annuel</t>
        </is>
      </c>
      <c r="E7" s="23" t="n">
        <v>10</v>
      </c>
      <c r="F7" s="15" t="inlineStr">
        <is>
          <t>€</t>
        </is>
      </c>
      <c r="G7" s="20">
        <f>IF(E7="","",IF(F7="$",E7*'Paramètres'!$C$5,E7))</f>
        <v/>
      </c>
      <c r="H7" s="20">
        <f>IF(J7&lt;&gt;"Oui",0,IF(D7="Mensuel",G7,IF(D7="Annuel",G7/12,0)))</f>
        <v/>
      </c>
      <c r="I7" s="20">
        <f>IF(J7&lt;&gt;"Oui",0,IF(D7="Ponctuel",G7,H7*12))</f>
        <v/>
      </c>
      <c r="J7" s="15" t="inlineStr">
        <is>
          <t>Oui</t>
        </is>
      </c>
      <c r="K7" s="21" t="n">
        <v>46291</v>
      </c>
      <c r="L7" s="21" t="n"/>
      <c r="M7" s="15" t="inlineStr">
        <is>
          <t>Régis</t>
        </is>
      </c>
      <c r="N7" s="15" t="inlineStr">
        <is>
          <t>Payé</t>
        </is>
      </c>
      <c r="O7" s="11" t="inlineStr">
        <is>
          <t>Renouvellement automatique le 26/09/2027 (tarif de renouvellement à renseigner)</t>
        </is>
      </c>
    </row>
    <row r="8">
      <c r="A8" s="7" t="inlineStr">
        <is>
          <t>Infrastructure</t>
        </is>
      </c>
      <c r="B8" s="7" t="inlineStr">
        <is>
          <t>Domaine ai-team.fr (abandonné)</t>
        </is>
      </c>
      <c r="C8" s="7" t="inlineStr">
        <is>
          <t>Hostinger</t>
        </is>
      </c>
      <c r="D8" s="15" t="inlineStr">
        <is>
          <t>Ponctuel</t>
        </is>
      </c>
      <c r="E8" s="23" t="n">
        <v>0</v>
      </c>
      <c r="F8" s="15" t="inlineStr">
        <is>
          <t>€</t>
        </is>
      </c>
      <c r="G8" s="20">
        <f>IF(E8="","",IF(F8="$",E8*'Paramètres'!$C$5,E8))</f>
        <v/>
      </c>
      <c r="H8" s="20">
        <f>IF(J8&lt;&gt;"Oui",0,IF(D8="Mensuel",G8,IF(D8="Annuel",G8/12,0)))</f>
        <v/>
      </c>
      <c r="I8" s="20">
        <f>IF(J8&lt;&gt;"Oui",0,IF(D8="Ponctuel",G8,H8*12))</f>
        <v/>
      </c>
      <c r="J8" s="15" t="inlineStr">
        <is>
          <t>Oui</t>
        </is>
      </c>
      <c r="K8" s="21" t="n">
        <v>46291</v>
      </c>
      <c r="L8" s="21" t="n"/>
      <c r="M8" s="15" t="inlineStr">
        <is>
          <t>Daouda</t>
        </is>
      </c>
      <c r="N8" s="15" t="inlineStr">
        <is>
          <t>À renseigner</t>
        </is>
      </c>
      <c r="O8" s="11" t="inlineStr">
        <is>
          <t>Non renouvelé</t>
        </is>
      </c>
    </row>
    <row r="9">
      <c r="A9" s="7" t="inlineStr">
        <is>
          <t>Infrastructure</t>
        </is>
      </c>
      <c r="B9" s="7" t="inlineStr">
        <is>
          <t>E-mail contact@ia-factor.fr</t>
        </is>
      </c>
      <c r="C9" s="7" t="inlineStr">
        <is>
          <t>À choisir</t>
        </is>
      </c>
      <c r="D9" s="15" t="inlineStr">
        <is>
          <t>Mensuel</t>
        </is>
      </c>
      <c r="E9" s="23" t="n">
        <v>2</v>
      </c>
      <c r="F9" s="15" t="inlineStr">
        <is>
          <t>€</t>
        </is>
      </c>
      <c r="G9" s="20">
        <f>IF(E9="","",IF(F9="$",E9*'Paramètres'!$C$5,E9))</f>
        <v/>
      </c>
      <c r="H9" s="20">
        <f>IF(J9&lt;&gt;"Oui",0,IF(D9="Mensuel",G9,IF(D9="Annuel",G9/12,0)))</f>
        <v/>
      </c>
      <c r="I9" s="20">
        <f>IF(J9&lt;&gt;"Oui",0,IF(D9="Ponctuel",G9,H9*12))</f>
        <v/>
      </c>
      <c r="J9" s="15" t="inlineStr">
        <is>
          <t>Oui</t>
        </is>
      </c>
      <c r="K9" s="21" t="n">
        <v>46327</v>
      </c>
      <c r="L9" s="21" t="n"/>
      <c r="M9" s="15" t="inlineStr">
        <is>
          <t>À définir</t>
        </is>
      </c>
      <c r="N9" s="15" t="inlineStr">
        <is>
          <t>Estimation</t>
        </is>
      </c>
      <c r="O9" s="11" t="inlineStr">
        <is>
          <t>Pas encore créé</t>
        </is>
      </c>
    </row>
    <row r="10">
      <c r="A10" s="7" t="inlineStr">
        <is>
          <t>Infrastructure</t>
        </is>
      </c>
      <c r="B10" s="7" t="inlineStr">
        <is>
          <t>Sauvegardes (Backblaze B2)</t>
        </is>
      </c>
      <c r="C10" s="7" t="inlineStr">
        <is>
          <t>Backblaze</t>
        </is>
      </c>
      <c r="D10" s="15" t="inlineStr">
        <is>
          <t>Mensuel</t>
        </is>
      </c>
      <c r="E10" s="23" t="n">
        <v>0</v>
      </c>
      <c r="F10" s="15" t="inlineStr">
        <is>
          <t>€</t>
        </is>
      </c>
      <c r="G10" s="20">
        <f>IF(E10="","",IF(F10="$",E10*'Paramètres'!$C$5,E10))</f>
        <v/>
      </c>
      <c r="H10" s="20">
        <f>IF(J10&lt;&gt;"Oui",0,IF(D10="Mensuel",G10,IF(D10="Annuel",G10/12,0)))</f>
        <v/>
      </c>
      <c r="I10" s="20">
        <f>IF(J10&lt;&gt;"Oui",0,IF(D10="Ponctuel",G10,H10*12))</f>
        <v/>
      </c>
      <c r="J10" s="15" t="inlineStr">
        <is>
          <t>Oui</t>
        </is>
      </c>
      <c r="K10" s="21" t="n">
        <v>46327</v>
      </c>
      <c r="L10" s="21" t="n"/>
      <c r="M10" s="15" t="inlineStr"/>
      <c r="N10" s="15" t="inlineStr">
        <is>
          <t>Estimation</t>
        </is>
      </c>
      <c r="O10" s="11" t="inlineStr">
        <is>
          <t>Gratuit jusqu'à 10 Go</t>
        </is>
      </c>
    </row>
    <row r="11">
      <c r="A11" s="7" t="inlineStr">
        <is>
          <t>IA</t>
        </is>
      </c>
      <c r="B11" s="7" t="inlineStr">
        <is>
          <t>API Claude — démo publique</t>
        </is>
      </c>
      <c r="C11" s="7" t="inlineStr">
        <is>
          <t>Anthropic</t>
        </is>
      </c>
      <c r="D11" s="15" t="inlineStr">
        <is>
          <t>Mensuel</t>
        </is>
      </c>
      <c r="E11" s="23" t="n">
        <v>3</v>
      </c>
      <c r="F11" s="15" t="inlineStr">
        <is>
          <t>€</t>
        </is>
      </c>
      <c r="G11" s="20">
        <f>IF(E11="","",IF(F11="$",E11*'Paramètres'!$C$5,E11))</f>
        <v/>
      </c>
      <c r="H11" s="20">
        <f>IF(J11&lt;&gt;"Oui",0,IF(D11="Mensuel",G11,IF(D11="Annuel",G11/12,0)))</f>
        <v/>
      </c>
      <c r="I11" s="20">
        <f>IF(J11&lt;&gt;"Oui",0,IF(D11="Ponctuel",G11,H11*12))</f>
        <v/>
      </c>
      <c r="J11" s="15" t="inlineStr">
        <is>
          <t>Oui</t>
        </is>
      </c>
      <c r="K11" s="21" t="n">
        <v>46296</v>
      </c>
      <c r="L11" s="21" t="n"/>
      <c r="M11" s="15" t="inlineStr">
        <is>
          <t>Daouda</t>
        </is>
      </c>
      <c r="N11" s="15" t="inlineStr">
        <is>
          <t>Estimation</t>
        </is>
      </c>
      <c r="O11" s="11" t="inlineStr">
        <is>
          <t>Plafond technique 0,30 $/jour (~8 €/mois max)</t>
        </is>
      </c>
    </row>
    <row r="12">
      <c r="A12" s="7" t="inlineStr">
        <is>
          <t>IA</t>
        </is>
      </c>
      <c r="B12" s="7" t="inlineStr">
        <is>
          <t>API Claude — crédits prépayés initiaux</t>
        </is>
      </c>
      <c r="C12" s="7" t="inlineStr">
        <is>
          <t>Anthropic</t>
        </is>
      </c>
      <c r="D12" s="15" t="inlineStr">
        <is>
          <t>Ponctuel</t>
        </is>
      </c>
      <c r="E12" s="23" t="n">
        <v>6</v>
      </c>
      <c r="F12" s="15" t="inlineStr">
        <is>
          <t>$</t>
        </is>
      </c>
      <c r="G12" s="20">
        <f>IF(E12="","",IF(F12="$",E12*'Paramètres'!$C$5,E12))</f>
        <v/>
      </c>
      <c r="H12" s="20">
        <f>IF(J12&lt;&gt;"Oui",0,IF(D12="Mensuel",G12,IF(D12="Annuel",G12/12,0)))</f>
        <v/>
      </c>
      <c r="I12" s="20">
        <f>IF(J12&lt;&gt;"Oui",0,IF(D12="Ponctuel",G12,H12*12))</f>
        <v/>
      </c>
      <c r="J12" s="15" t="inlineStr">
        <is>
          <t>Oui</t>
        </is>
      </c>
      <c r="K12" s="21" t="n">
        <v>46292</v>
      </c>
      <c r="L12" s="21" t="n"/>
      <c r="M12" s="15" t="inlineStr">
        <is>
          <t>Daouda</t>
        </is>
      </c>
      <c r="N12" s="15" t="inlineStr">
        <is>
          <t>Payé</t>
        </is>
      </c>
      <c r="O12" s="11" t="inlineStr">
        <is>
          <t>5 $ + 1 $ de taxes, expirent le 27/09/2027</t>
        </is>
      </c>
    </row>
    <row r="13">
      <c r="A13" s="7" t="inlineStr">
        <is>
          <t>IA</t>
        </is>
      </c>
      <c r="B13" s="7" t="inlineStr">
        <is>
          <t>API Claude — agent des clients</t>
        </is>
      </c>
      <c r="C13" s="7" t="inlineStr">
        <is>
          <t>Anthropic</t>
        </is>
      </c>
      <c r="D13" s="15" t="inlineStr">
        <is>
          <t>Variable</t>
        </is>
      </c>
      <c r="E13" s="23" t="n">
        <v>0</v>
      </c>
      <c r="F13" s="15" t="inlineStr">
        <is>
          <t>€</t>
        </is>
      </c>
      <c r="G13" s="20">
        <f>IF(E13="","",IF(F13="$",E13*'Paramètres'!$C$5,E13))</f>
        <v/>
      </c>
      <c r="H13" s="20">
        <f>IF(J13&lt;&gt;"Oui",0,IF(D13="Mensuel",G13,IF(D13="Annuel",G13/12,0)))</f>
        <v/>
      </c>
      <c r="I13" s="20">
        <f>IF(J13&lt;&gt;"Oui",0,IF(D13="Ponctuel",G13,H13*12))</f>
        <v/>
      </c>
      <c r="J13" s="15" t="inlineStr">
        <is>
          <t>Oui</t>
        </is>
      </c>
      <c r="K13" s="21" t="n"/>
      <c r="L13" s="21" t="n"/>
      <c r="M13" s="15" t="inlineStr">
        <is>
          <t>Société</t>
        </is>
      </c>
      <c r="N13" s="15" t="inlineStr">
        <is>
          <t>Estimation</t>
        </is>
      </c>
      <c r="O13" s="11" t="inlineStr">
        <is>
          <t>Par client : voir Paramètres (coût variable)</t>
        </is>
      </c>
    </row>
    <row r="14">
      <c r="A14" s="7" t="inlineStr">
        <is>
          <t>IA</t>
        </is>
      </c>
      <c r="B14" s="7" t="inlineStr">
        <is>
          <t>Abonnement Claude (Claude Code, développement)</t>
        </is>
      </c>
      <c r="C14" s="7" t="inlineStr">
        <is>
          <t>Anthropic</t>
        </is>
      </c>
      <c r="D14" s="15" t="inlineStr">
        <is>
          <t>Mensuel</t>
        </is>
      </c>
      <c r="E14" s="23" t="n">
        <v>20</v>
      </c>
      <c r="F14" s="15" t="inlineStr">
        <is>
          <t>€</t>
        </is>
      </c>
      <c r="G14" s="20">
        <f>IF(E14="","",IF(F14="$",E14*'Paramètres'!$C$5,E14))</f>
        <v/>
      </c>
      <c r="H14" s="20">
        <f>IF(J14&lt;&gt;"Oui",0,IF(D14="Mensuel",G14,IF(D14="Annuel",G14/12,0)))</f>
        <v/>
      </c>
      <c r="I14" s="20">
        <f>IF(J14&lt;&gt;"Oui",0,IF(D14="Ponctuel",G14,H14*12))</f>
        <v/>
      </c>
      <c r="J14" s="15" t="inlineStr">
        <is>
          <t>Oui</t>
        </is>
      </c>
      <c r="K14" s="21" t="n">
        <v>46266</v>
      </c>
      <c r="L14" s="21" t="n"/>
      <c r="M14" s="15" t="inlineStr">
        <is>
          <t>Daouda</t>
        </is>
      </c>
      <c r="N14" s="15" t="inlineStr">
        <is>
          <t>À renseigner</t>
        </is>
      </c>
      <c r="O14" s="11" t="inlineStr">
        <is>
          <t>Pro ~20 $/mois, Max 100–200 $/mois ; à décider : dépense du projet ou personnelle</t>
        </is>
      </c>
    </row>
    <row r="15">
      <c r="A15" s="7" t="inlineStr">
        <is>
          <t>Démarches</t>
        </is>
      </c>
      <c r="B15" s="7" t="inlineStr">
        <is>
          <t>Création micro-entreprise</t>
        </is>
      </c>
      <c r="C15" s="7" t="inlineStr">
        <is>
          <t>URSSAF / guichet unique</t>
        </is>
      </c>
      <c r="D15" s="15" t="inlineStr">
        <is>
          <t>Ponctuel</t>
        </is>
      </c>
      <c r="E15" s="23" t="n">
        <v>0</v>
      </c>
      <c r="F15" s="15" t="inlineStr">
        <is>
          <t>€</t>
        </is>
      </c>
      <c r="G15" s="20">
        <f>IF(E15="","",IF(F15="$",E15*'Paramètres'!$C$5,E15))</f>
        <v/>
      </c>
      <c r="H15" s="20">
        <f>IF(J15&lt;&gt;"Oui",0,IF(D15="Mensuel",G15,IF(D15="Annuel",G15/12,0)))</f>
        <v/>
      </c>
      <c r="I15" s="20">
        <f>IF(J15&lt;&gt;"Oui",0,IF(D15="Ponctuel",G15,H15*12))</f>
        <v/>
      </c>
      <c r="J15" s="15" t="inlineStr">
        <is>
          <t>Oui</t>
        </is>
      </c>
      <c r="K15" s="21" t="n">
        <v>46327</v>
      </c>
      <c r="L15" s="21" t="n"/>
      <c r="M15" s="15" t="inlineStr"/>
      <c r="N15" s="15" t="inlineStr">
        <is>
          <t>Estimation</t>
        </is>
      </c>
      <c r="O15" s="11" t="inlineStr">
        <is>
          <t>Gratuit</t>
        </is>
      </c>
    </row>
    <row r="16">
      <c r="A16" s="7" t="inlineStr">
        <is>
          <t>Démarches</t>
        </is>
      </c>
      <c r="B16" s="7" t="inlineStr">
        <is>
          <t>Création société (SAS/SASU, annonce légale)</t>
        </is>
      </c>
      <c r="C16" s="7" t="inlineStr">
        <is>
          <t>Guichet unique</t>
        </is>
      </c>
      <c r="D16" s="15" t="inlineStr">
        <is>
          <t>Ponctuel</t>
        </is>
      </c>
      <c r="E16" s="23" t="n">
        <v>400</v>
      </c>
      <c r="F16" s="15" t="inlineStr">
        <is>
          <t>€</t>
        </is>
      </c>
      <c r="G16" s="20">
        <f>IF(E16="","",IF(F16="$",E16*'Paramètres'!$C$5,E16))</f>
        <v/>
      </c>
      <c r="H16" s="20">
        <f>IF(J16&lt;&gt;"Oui",0,IF(D16="Mensuel",G16,IF(D16="Annuel",G16/12,0)))</f>
        <v/>
      </c>
      <c r="I16" s="20">
        <f>IF(J16&lt;&gt;"Oui",0,IF(D16="Ponctuel",G16,H16*12))</f>
        <v/>
      </c>
      <c r="J16" s="15" t="inlineStr">
        <is>
          <t>Non</t>
        </is>
      </c>
      <c r="K16" s="21" t="n">
        <v>46327</v>
      </c>
      <c r="L16" s="21" t="n"/>
      <c r="M16" s="15" t="inlineStr"/>
      <c r="N16" s="15" t="inlineStr">
        <is>
          <t>Estimation</t>
        </is>
      </c>
      <c r="O16" s="11" t="inlineStr">
        <is>
          <t>Alternative à la micro-entreprise : 300–500 €</t>
        </is>
      </c>
    </row>
    <row r="17">
      <c r="A17" s="7" t="inlineStr">
        <is>
          <t>Démarches</t>
        </is>
      </c>
      <c r="B17" s="7" t="inlineStr">
        <is>
          <t>Dépôt de marque INPI (1 classe)</t>
        </is>
      </c>
      <c r="C17" s="7" t="inlineStr">
        <is>
          <t>INPI</t>
        </is>
      </c>
      <c r="D17" s="15" t="inlineStr">
        <is>
          <t>Ponctuel</t>
        </is>
      </c>
      <c r="E17" s="23" t="n">
        <v>190</v>
      </c>
      <c r="F17" s="15" t="inlineStr">
        <is>
          <t>€</t>
        </is>
      </c>
      <c r="G17" s="20">
        <f>IF(E17="","",IF(F17="$",E17*'Paramètres'!$C$5,E17))</f>
        <v/>
      </c>
      <c r="H17" s="20">
        <f>IF(J17&lt;&gt;"Oui",0,IF(D17="Mensuel",G17,IF(D17="Annuel",G17/12,0)))</f>
        <v/>
      </c>
      <c r="I17" s="20">
        <f>IF(J17&lt;&gt;"Oui",0,IF(D17="Ponctuel",G17,H17*12))</f>
        <v/>
      </c>
      <c r="J17" s="15" t="inlineStr">
        <is>
          <t>Oui</t>
        </is>
      </c>
      <c r="K17" s="21" t="n">
        <v>46327</v>
      </c>
      <c r="L17" s="21" t="n"/>
      <c r="M17" s="15" t="inlineStr">
        <is>
          <t>À définir</t>
        </is>
      </c>
      <c r="N17" s="15" t="inlineStr">
        <is>
          <t>Estimation</t>
        </is>
      </c>
      <c r="O17" s="11" t="inlineStr">
        <is>
          <t>À vérifier sur inpi.fr</t>
        </is>
      </c>
    </row>
    <row r="18">
      <c r="A18" s="7" t="inlineStr">
        <is>
          <t>Démarches</t>
        </is>
      </c>
      <c r="B18" s="7" t="inlineStr">
        <is>
          <t>Relecture juridique (CGV, confidentialité, contrat de sous-traitance)</t>
        </is>
      </c>
      <c r="C18" s="7" t="inlineStr">
        <is>
          <t>Juriste / DPO</t>
        </is>
      </c>
      <c r="D18" s="15" t="inlineStr">
        <is>
          <t>Ponctuel</t>
        </is>
      </c>
      <c r="E18" s="23" t="n">
        <v>800</v>
      </c>
      <c r="F18" s="15" t="inlineStr">
        <is>
          <t>€</t>
        </is>
      </c>
      <c r="G18" s="20">
        <f>IF(E18="","",IF(F18="$",E18*'Paramètres'!$C$5,E18))</f>
        <v/>
      </c>
      <c r="H18" s="20">
        <f>IF(J18&lt;&gt;"Oui",0,IF(D18="Mensuel",G18,IF(D18="Annuel",G18/12,0)))</f>
        <v/>
      </c>
      <c r="I18" s="20">
        <f>IF(J18&lt;&gt;"Oui",0,IF(D18="Ponctuel",G18,H18*12))</f>
        <v/>
      </c>
      <c r="J18" s="15" t="inlineStr">
        <is>
          <t>Oui</t>
        </is>
      </c>
      <c r="K18" s="21" t="n">
        <v>46357</v>
      </c>
      <c r="L18" s="21" t="n"/>
      <c r="M18" s="15" t="inlineStr">
        <is>
          <t>À définir</t>
        </is>
      </c>
      <c r="N18" s="15" t="inlineStr">
        <is>
          <t>Estimation</t>
        </is>
      </c>
      <c r="O18" s="11" t="inlineStr">
        <is>
          <t>500–1 000 €</t>
        </is>
      </c>
    </row>
    <row r="19">
      <c r="A19" s="7" t="inlineStr">
        <is>
          <t>Démarches</t>
        </is>
      </c>
      <c r="B19" s="7" t="inlineStr">
        <is>
          <t>Assurance RC Pro</t>
        </is>
      </c>
      <c r="C19" s="7" t="inlineStr">
        <is>
          <t>À choisir</t>
        </is>
      </c>
      <c r="D19" s="15" t="inlineStr">
        <is>
          <t>Annuel</t>
        </is>
      </c>
      <c r="E19" s="23" t="n">
        <v>240</v>
      </c>
      <c r="F19" s="15" t="inlineStr">
        <is>
          <t>€</t>
        </is>
      </c>
      <c r="G19" s="20">
        <f>IF(E19="","",IF(F19="$",E19*'Paramètres'!$C$5,E19))</f>
        <v/>
      </c>
      <c r="H19" s="20">
        <f>IF(J19&lt;&gt;"Oui",0,IF(D19="Mensuel",G19,IF(D19="Annuel",G19/12,0)))</f>
        <v/>
      </c>
      <c r="I19" s="20">
        <f>IF(J19&lt;&gt;"Oui",0,IF(D19="Ponctuel",G19,H19*12))</f>
        <v/>
      </c>
      <c r="J19" s="15" t="inlineStr">
        <is>
          <t>Oui</t>
        </is>
      </c>
      <c r="K19" s="21" t="n">
        <v>46357</v>
      </c>
      <c r="L19" s="21" t="n"/>
      <c r="M19" s="15" t="inlineStr">
        <is>
          <t>Société</t>
        </is>
      </c>
      <c r="N19" s="15" t="inlineStr">
        <is>
          <t>Estimation</t>
        </is>
      </c>
      <c r="O19" s="11" t="inlineStr">
        <is>
          <t>150–400 €/an</t>
        </is>
      </c>
    </row>
    <row r="20">
      <c r="A20" s="7" t="inlineStr">
        <is>
          <t>Démarches</t>
        </is>
      </c>
      <c r="B20" s="7" t="inlineStr">
        <is>
          <t>Banque professionnelle</t>
        </is>
      </c>
      <c r="C20" s="7" t="inlineStr">
        <is>
          <t>À choisir</t>
        </is>
      </c>
      <c r="D20" s="15" t="inlineStr">
        <is>
          <t>Mensuel</t>
        </is>
      </c>
      <c r="E20" s="23" t="n">
        <v>5</v>
      </c>
      <c r="F20" s="15" t="inlineStr">
        <is>
          <t>€</t>
        </is>
      </c>
      <c r="G20" s="20">
        <f>IF(E20="","",IF(F20="$",E20*'Paramètres'!$C$5,E20))</f>
        <v/>
      </c>
      <c r="H20" s="20">
        <f>IF(J20&lt;&gt;"Oui",0,IF(D20="Mensuel",G20,IF(D20="Annuel",G20/12,0)))</f>
        <v/>
      </c>
      <c r="I20" s="20">
        <f>IF(J20&lt;&gt;"Oui",0,IF(D20="Ponctuel",G20,H20*12))</f>
        <v/>
      </c>
      <c r="J20" s="15" t="inlineStr">
        <is>
          <t>Oui</t>
        </is>
      </c>
      <c r="K20" s="21" t="n">
        <v>46357</v>
      </c>
      <c r="L20" s="21" t="n"/>
      <c r="M20" s="15" t="inlineStr">
        <is>
          <t>Société</t>
        </is>
      </c>
      <c r="N20" s="15" t="inlineStr">
        <is>
          <t>Estimation</t>
        </is>
      </c>
      <c r="O20" s="11" t="inlineStr">
        <is>
          <t>0–10 €/mois</t>
        </is>
      </c>
    </row>
    <row r="21">
      <c r="A21" s="7" t="inlineStr">
        <is>
          <t>Démarches</t>
        </is>
      </c>
      <c r="B21" s="7" t="inlineStr">
        <is>
          <t>Expert-comptable</t>
        </is>
      </c>
      <c r="C21" s="7" t="inlineStr">
        <is>
          <t>À choisir</t>
        </is>
      </c>
      <c r="D21" s="15" t="inlineStr">
        <is>
          <t>Mensuel</t>
        </is>
      </c>
      <c r="E21" s="23" t="n">
        <v>120</v>
      </c>
      <c r="F21" s="15" t="inlineStr">
        <is>
          <t>€</t>
        </is>
      </c>
      <c r="G21" s="20">
        <f>IF(E21="","",IF(F21="$",E21*'Paramètres'!$C$5,E21))</f>
        <v/>
      </c>
      <c r="H21" s="20">
        <f>IF(J21&lt;&gt;"Oui",0,IF(D21="Mensuel",G21,IF(D21="Annuel",G21/12,0)))</f>
        <v/>
      </c>
      <c r="I21" s="20">
        <f>IF(J21&lt;&gt;"Oui",0,IF(D21="Ponctuel",G21,H21*12))</f>
        <v/>
      </c>
      <c r="J21" s="15" t="inlineStr">
        <is>
          <t>Non</t>
        </is>
      </c>
      <c r="K21" s="21" t="n">
        <v>46388</v>
      </c>
      <c r="L21" s="21" t="n"/>
      <c r="M21" s="15" t="inlineStr">
        <is>
          <t>Société</t>
        </is>
      </c>
      <c r="N21" s="15" t="inlineStr">
        <is>
          <t>Estimation</t>
        </is>
      </c>
      <c r="O21" s="11" t="inlineStr">
        <is>
          <t>Seulement en société : 80–150 €/mois</t>
        </is>
      </c>
    </row>
    <row r="22">
      <c r="A22" s="7" t="inlineStr">
        <is>
          <t>Commercial</t>
        </is>
      </c>
      <c r="B22" s="7" t="inlineStr">
        <is>
          <t>Community manager (freelance)</t>
        </is>
      </c>
      <c r="C22" s="7" t="inlineStr">
        <is>
          <t>À choisir</t>
        </is>
      </c>
      <c r="D22" s="15" t="inlineStr">
        <is>
          <t>Mensuel</t>
        </is>
      </c>
      <c r="E22" s="23" t="n">
        <v>400</v>
      </c>
      <c r="F22" s="15" t="inlineStr">
        <is>
          <t>€</t>
        </is>
      </c>
      <c r="G22" s="20">
        <f>IF(E22="","",IF(F22="$",E22*'Paramètres'!$C$5,E22))</f>
        <v/>
      </c>
      <c r="H22" s="20">
        <f>IF(J22&lt;&gt;"Oui",0,IF(D22="Mensuel",G22,IF(D22="Annuel",G22/12,0)))</f>
        <v/>
      </c>
      <c r="I22" s="20">
        <f>IF(J22&lt;&gt;"Oui",0,IF(D22="Ponctuel",G22,H22*12))</f>
        <v/>
      </c>
      <c r="J22" s="15" t="inlineStr">
        <is>
          <t>Non</t>
        </is>
      </c>
      <c r="K22" s="21" t="n">
        <v>46447</v>
      </c>
      <c r="L22" s="21" t="n"/>
      <c r="M22" s="15" t="inlineStr">
        <is>
          <t>Société</t>
        </is>
      </c>
      <c r="N22" s="15" t="inlineStr">
        <is>
          <t>Estimation</t>
        </is>
      </c>
      <c r="O22" s="11" t="inlineStr">
        <is>
          <t>Réseaux sociaux, contenus : 300–600 €/mois selon volume</t>
        </is>
      </c>
    </row>
    <row r="23">
      <c r="A23" s="7" t="inlineStr">
        <is>
          <t>Commercial</t>
        </is>
      </c>
      <c r="B23" s="7" t="inlineStr">
        <is>
          <t>Kit commerçant (QR codes, affichettes imprimées)</t>
        </is>
      </c>
      <c r="C23" s="7" t="inlineStr">
        <is>
          <t>Imprimeur</t>
        </is>
      </c>
      <c r="D23" s="15" t="inlineStr">
        <is>
          <t>Ponctuel</t>
        </is>
      </c>
      <c r="E23" s="23" t="n">
        <v>50</v>
      </c>
      <c r="F23" s="15" t="inlineStr">
        <is>
          <t>€</t>
        </is>
      </c>
      <c r="G23" s="20">
        <f>IF(E23="","",IF(F23="$",E23*'Paramètres'!$C$5,E23))</f>
        <v/>
      </c>
      <c r="H23" s="20">
        <f>IF(J23&lt;&gt;"Oui",0,IF(D23="Mensuel",G23,IF(D23="Annuel",G23/12,0)))</f>
        <v/>
      </c>
      <c r="I23" s="20">
        <f>IF(J23&lt;&gt;"Oui",0,IF(D23="Ponctuel",G23,H23*12))</f>
        <v/>
      </c>
      <c r="J23" s="15" t="inlineStr">
        <is>
          <t>Oui</t>
        </is>
      </c>
      <c r="K23" s="21" t="n">
        <v>46357</v>
      </c>
      <c r="L23" s="21" t="n"/>
      <c r="M23" s="15" t="inlineStr">
        <is>
          <t>À définir</t>
        </is>
      </c>
      <c r="N23" s="15" t="inlineStr">
        <is>
          <t>Estimation</t>
        </is>
      </c>
      <c r="O23" s="11" t="inlineStr"/>
    </row>
    <row r="24">
      <c r="A24" s="7" t="inlineStr">
        <is>
          <t>Commercial</t>
        </is>
      </c>
      <c r="B24" s="7" t="inlineStr">
        <is>
          <t>Publicité en ligne</t>
        </is>
      </c>
      <c r="C24" s="7" t="inlineStr">
        <is>
          <t>Google / Meta</t>
        </is>
      </c>
      <c r="D24" s="15" t="inlineStr">
        <is>
          <t>Mensuel</t>
        </is>
      </c>
      <c r="E24" s="23" t="n">
        <v>100</v>
      </c>
      <c r="F24" s="15" t="inlineStr">
        <is>
          <t>€</t>
        </is>
      </c>
      <c r="G24" s="20">
        <f>IF(E24="","",IF(F24="$",E24*'Paramètres'!$C$5,E24))</f>
        <v/>
      </c>
      <c r="H24" s="20">
        <f>IF(J24&lt;&gt;"Oui",0,IF(D24="Mensuel",G24,IF(D24="Annuel",G24/12,0)))</f>
        <v/>
      </c>
      <c r="I24" s="20">
        <f>IF(J24&lt;&gt;"Oui",0,IF(D24="Ponctuel",G24,H24*12))</f>
        <v/>
      </c>
      <c r="J24" s="15" t="inlineStr">
        <is>
          <t>Non</t>
        </is>
      </c>
      <c r="K24" s="21" t="n">
        <v>46447</v>
      </c>
      <c r="L24" s="21" t="n"/>
      <c r="M24" s="15" t="inlineStr">
        <is>
          <t>Société</t>
        </is>
      </c>
      <c r="N24" s="15" t="inlineStr">
        <is>
          <t>Estimation</t>
        </is>
      </c>
      <c r="O24" s="11" t="inlineStr">
        <is>
          <t>Optionnel</t>
        </is>
      </c>
    </row>
    <row r="25">
      <c r="A25" s="7" t="inlineStr">
        <is>
          <t>Commercial</t>
        </is>
      </c>
      <c r="B25" s="7" t="inlineStr">
        <is>
          <t>Déplacements de prospection</t>
        </is>
      </c>
      <c r="C25" s="7" t="inlineStr"/>
      <c r="D25" s="15" t="inlineStr">
        <is>
          <t>Mensuel</t>
        </is>
      </c>
      <c r="E25" s="23" t="n">
        <v>30</v>
      </c>
      <c r="F25" s="15" t="inlineStr">
        <is>
          <t>€</t>
        </is>
      </c>
      <c r="G25" s="20">
        <f>IF(E25="","",IF(F25="$",E25*'Paramètres'!$C$5,E25))</f>
        <v/>
      </c>
      <c r="H25" s="20">
        <f>IF(J25&lt;&gt;"Oui",0,IF(D25="Mensuel",G25,IF(D25="Annuel",G25/12,0)))</f>
        <v/>
      </c>
      <c r="I25" s="20">
        <f>IF(J25&lt;&gt;"Oui",0,IF(D25="Ponctuel",G25,H25*12))</f>
        <v/>
      </c>
      <c r="J25" s="15" t="inlineStr">
        <is>
          <t>Non</t>
        </is>
      </c>
      <c r="K25" s="21" t="n">
        <v>46327</v>
      </c>
      <c r="L25" s="21" t="n"/>
      <c r="M25" s="15" t="inlineStr">
        <is>
          <t>Régis</t>
        </is>
      </c>
      <c r="N25" s="15" t="inlineStr">
        <is>
          <t>Estimation</t>
        </is>
      </c>
      <c r="O25" s="11" t="inlineStr">
        <is>
          <t>Optionnel</t>
        </is>
      </c>
    </row>
    <row r="26">
      <c r="A26" s="7" t="inlineStr">
        <is>
          <t>Paiement</t>
        </is>
      </c>
      <c r="B26" s="7" t="inlineStr">
        <is>
          <t>Frais Stripe</t>
        </is>
      </c>
      <c r="C26" s="7" t="inlineStr">
        <is>
          <t>Stripe</t>
        </is>
      </c>
      <c r="D26" s="15" t="inlineStr">
        <is>
          <t>Variable</t>
        </is>
      </c>
      <c r="E26" s="23" t="n">
        <v>0</v>
      </c>
      <c r="F26" s="15" t="inlineStr">
        <is>
          <t>€</t>
        </is>
      </c>
      <c r="G26" s="20">
        <f>IF(E26="","",IF(F26="$",E26*'Paramètres'!$C$5,E26))</f>
        <v/>
      </c>
      <c r="H26" s="20">
        <f>IF(J26&lt;&gt;"Oui",0,IF(D26="Mensuel",G26,IF(D26="Annuel",G26/12,0)))</f>
        <v/>
      </c>
      <c r="I26" s="20">
        <f>IF(J26&lt;&gt;"Oui",0,IF(D26="Ponctuel",G26,H26*12))</f>
        <v/>
      </c>
      <c r="J26" s="15" t="inlineStr">
        <is>
          <t>Oui</t>
        </is>
      </c>
      <c r="K26" s="21" t="n"/>
      <c r="L26" s="21" t="n"/>
      <c r="M26" s="15" t="inlineStr">
        <is>
          <t>Société</t>
        </is>
      </c>
      <c r="N26" s="15" t="inlineStr">
        <is>
          <t>Estimation</t>
        </is>
      </c>
      <c r="O26" s="11" t="inlineStr">
        <is>
          <t>Voir Paramètres : % + fixe par paiement</t>
        </is>
      </c>
    </row>
    <row r="27">
      <c r="A27" s="7" t="inlineStr">
        <is>
          <t>Paiement</t>
        </is>
      </c>
      <c r="B27" s="7" t="inlineStr">
        <is>
          <t>Messages WhatsApp (V2)</t>
        </is>
      </c>
      <c r="C27" s="7" t="inlineStr">
        <is>
          <t>Meta</t>
        </is>
      </c>
      <c r="D27" s="15" t="inlineStr">
        <is>
          <t>Variable</t>
        </is>
      </c>
      <c r="E27" s="23" t="n">
        <v>0</v>
      </c>
      <c r="F27" s="15" t="inlineStr">
        <is>
          <t>€</t>
        </is>
      </c>
      <c r="G27" s="20">
        <f>IF(E27="","",IF(F27="$",E27*'Paramètres'!$C$5,E27))</f>
        <v/>
      </c>
      <c r="H27" s="20">
        <f>IF(J27&lt;&gt;"Oui",0,IF(D27="Mensuel",G27,IF(D27="Annuel",G27/12,0)))</f>
        <v/>
      </c>
      <c r="I27" s="20">
        <f>IF(J27&lt;&gt;"Oui",0,IF(D27="Ponctuel",G27,H27*12))</f>
        <v/>
      </c>
      <c r="J27" s="15" t="inlineStr">
        <is>
          <t>Non</t>
        </is>
      </c>
      <c r="K27" s="21" t="n"/>
      <c r="L27" s="21" t="n"/>
      <c r="M27" s="15" t="inlineStr">
        <is>
          <t>Société</t>
        </is>
      </c>
      <c r="N27" s="15" t="inlineStr">
        <is>
          <t>Estimation</t>
        </is>
      </c>
      <c r="O27" s="11" t="inlineStr">
        <is>
          <t>V2 seulement ; V1 sur Telegram : gratuit</t>
        </is>
      </c>
    </row>
    <row r="28">
      <c r="A28" s="7" t="n"/>
      <c r="B28" s="7" t="n"/>
      <c r="C28" s="7" t="n"/>
      <c r="D28" s="15" t="n"/>
      <c r="E28" s="23" t="n"/>
      <c r="F28" s="15" t="n"/>
      <c r="G28" s="20">
        <f>IF(E28="","",IF(F28="$",E28*'Paramètres'!$C$5,E28))</f>
        <v/>
      </c>
      <c r="H28" s="20">
        <f>IF(J28&lt;&gt;"Oui",0,IF(D28="Mensuel",G28,IF(D28="Annuel",G28/12,0)))</f>
        <v/>
      </c>
      <c r="I28" s="20">
        <f>IF(J28&lt;&gt;"Oui",0,IF(D28="Ponctuel",G28,H28*12))</f>
        <v/>
      </c>
      <c r="J28" s="15" t="n"/>
      <c r="K28" s="21" t="n"/>
      <c r="L28" s="21" t="n"/>
      <c r="M28" s="15" t="n"/>
      <c r="N28" s="15" t="n"/>
      <c r="O28" s="7" t="n"/>
    </row>
    <row r="29">
      <c r="A29" s="7" t="n"/>
      <c r="B29" s="7" t="n"/>
      <c r="C29" s="7" t="n"/>
      <c r="D29" s="15" t="n"/>
      <c r="E29" s="23" t="n"/>
      <c r="F29" s="15" t="n"/>
      <c r="G29" s="20">
        <f>IF(E29="","",IF(F29="$",E29*'Paramètres'!$C$5,E29))</f>
        <v/>
      </c>
      <c r="H29" s="20">
        <f>IF(J29&lt;&gt;"Oui",0,IF(D29="Mensuel",G29,IF(D29="Annuel",G29/12,0)))</f>
        <v/>
      </c>
      <c r="I29" s="20">
        <f>IF(J29&lt;&gt;"Oui",0,IF(D29="Ponctuel",G29,H29*12))</f>
        <v/>
      </c>
      <c r="J29" s="15" t="n"/>
      <c r="K29" s="21" t="n"/>
      <c r="L29" s="21" t="n"/>
      <c r="M29" s="15" t="n"/>
      <c r="N29" s="15" t="n"/>
      <c r="O29" s="7" t="n"/>
    </row>
    <row r="30">
      <c r="A30" s="7" t="n"/>
      <c r="B30" s="7" t="n"/>
      <c r="C30" s="7" t="n"/>
      <c r="D30" s="15" t="n"/>
      <c r="E30" s="23" t="n"/>
      <c r="F30" s="15" t="n"/>
      <c r="G30" s="20">
        <f>IF(E30="","",IF(F30="$",E30*'Paramètres'!$C$5,E30))</f>
        <v/>
      </c>
      <c r="H30" s="20">
        <f>IF(J30&lt;&gt;"Oui",0,IF(D30="Mensuel",G30,IF(D30="Annuel",G30/12,0)))</f>
        <v/>
      </c>
      <c r="I30" s="20">
        <f>IF(J30&lt;&gt;"Oui",0,IF(D30="Ponctuel",G30,H30*12))</f>
        <v/>
      </c>
      <c r="J30" s="15" t="n"/>
      <c r="K30" s="21" t="n"/>
      <c r="L30" s="21" t="n"/>
      <c r="M30" s="15" t="n"/>
      <c r="N30" s="15" t="n"/>
      <c r="O30" s="7" t="n"/>
    </row>
    <row r="31">
      <c r="A31" s="7" t="n"/>
      <c r="B31" s="7" t="n"/>
      <c r="C31" s="7" t="n"/>
      <c r="D31" s="15" t="n"/>
      <c r="E31" s="23" t="n"/>
      <c r="F31" s="15" t="n"/>
      <c r="G31" s="20">
        <f>IF(E31="","",IF(F31="$",E31*'Paramètres'!$C$5,E31))</f>
        <v/>
      </c>
      <c r="H31" s="20">
        <f>IF(J31&lt;&gt;"Oui",0,IF(D31="Mensuel",G31,IF(D31="Annuel",G31/12,0)))</f>
        <v/>
      </c>
      <c r="I31" s="20">
        <f>IF(J31&lt;&gt;"Oui",0,IF(D31="Ponctuel",G31,H31*12))</f>
        <v/>
      </c>
      <c r="J31" s="15" t="n"/>
      <c r="K31" s="21" t="n"/>
      <c r="L31" s="21" t="n"/>
      <c r="M31" s="15" t="n"/>
      <c r="N31" s="15" t="n"/>
      <c r="O31" s="7" t="n"/>
    </row>
    <row r="32">
      <c r="A32" s="7" t="n"/>
      <c r="B32" s="7" t="n"/>
      <c r="C32" s="7" t="n"/>
      <c r="D32" s="15" t="n"/>
      <c r="E32" s="23" t="n"/>
      <c r="F32" s="15" t="n"/>
      <c r="G32" s="20">
        <f>IF(E32="","",IF(F32="$",E32*'Paramètres'!$C$5,E32))</f>
        <v/>
      </c>
      <c r="H32" s="20">
        <f>IF(J32&lt;&gt;"Oui",0,IF(D32="Mensuel",G32,IF(D32="Annuel",G32/12,0)))</f>
        <v/>
      </c>
      <c r="I32" s="20">
        <f>IF(J32&lt;&gt;"Oui",0,IF(D32="Ponctuel",G32,H32*12))</f>
        <v/>
      </c>
      <c r="J32" s="15" t="n"/>
      <c r="K32" s="21" t="n"/>
      <c r="L32" s="21" t="n"/>
      <c r="M32" s="15" t="n"/>
      <c r="N32" s="15" t="n"/>
      <c r="O32" s="7" t="n"/>
    </row>
    <row r="33">
      <c r="A33" s="7" t="n"/>
      <c r="B33" s="7" t="n"/>
      <c r="C33" s="7" t="n"/>
      <c r="D33" s="15" t="n"/>
      <c r="E33" s="23" t="n"/>
      <c r="F33" s="15" t="n"/>
      <c r="G33" s="20">
        <f>IF(E33="","",IF(F33="$",E33*'Paramètres'!$C$5,E33))</f>
        <v/>
      </c>
      <c r="H33" s="20">
        <f>IF(J33&lt;&gt;"Oui",0,IF(D33="Mensuel",G33,IF(D33="Annuel",G33/12,0)))</f>
        <v/>
      </c>
      <c r="I33" s="20">
        <f>IF(J33&lt;&gt;"Oui",0,IF(D33="Ponctuel",G33,H33*12))</f>
        <v/>
      </c>
      <c r="J33" s="15" t="n"/>
      <c r="K33" s="21" t="n"/>
      <c r="L33" s="21" t="n"/>
      <c r="M33" s="15" t="n"/>
      <c r="N33" s="15" t="n"/>
      <c r="O33" s="7" t="n"/>
    </row>
    <row r="34">
      <c r="A34" s="7" t="n"/>
      <c r="B34" s="7" t="n"/>
      <c r="C34" s="7" t="n"/>
      <c r="D34" s="15" t="n"/>
      <c r="E34" s="23" t="n"/>
      <c r="F34" s="15" t="n"/>
      <c r="G34" s="20">
        <f>IF(E34="","",IF(F34="$",E34*'Paramètres'!$C$5,E34))</f>
        <v/>
      </c>
      <c r="H34" s="20">
        <f>IF(J34&lt;&gt;"Oui",0,IF(D34="Mensuel",G34,IF(D34="Annuel",G34/12,0)))</f>
        <v/>
      </c>
      <c r="I34" s="20">
        <f>IF(J34&lt;&gt;"Oui",0,IF(D34="Ponctuel",G34,H34*12))</f>
        <v/>
      </c>
      <c r="J34" s="15" t="n"/>
      <c r="K34" s="21" t="n"/>
      <c r="L34" s="21" t="n"/>
      <c r="M34" s="15" t="n"/>
      <c r="N34" s="15" t="n"/>
      <c r="O34" s="7" t="n"/>
    </row>
    <row r="35">
      <c r="A35" s="7" t="n"/>
      <c r="B35" s="7" t="n"/>
      <c r="C35" s="7" t="n"/>
      <c r="D35" s="15" t="n"/>
      <c r="E35" s="23" t="n"/>
      <c r="F35" s="15" t="n"/>
      <c r="G35" s="20">
        <f>IF(E35="","",IF(F35="$",E35*'Paramètres'!$C$5,E35))</f>
        <v/>
      </c>
      <c r="H35" s="20">
        <f>IF(J35&lt;&gt;"Oui",0,IF(D35="Mensuel",G35,IF(D35="Annuel",G35/12,0)))</f>
        <v/>
      </c>
      <c r="I35" s="20">
        <f>IF(J35&lt;&gt;"Oui",0,IF(D35="Ponctuel",G35,H35*12))</f>
        <v/>
      </c>
      <c r="J35" s="15" t="n"/>
      <c r="K35" s="21" t="n"/>
      <c r="L35" s="21" t="n"/>
      <c r="M35" s="15" t="n"/>
      <c r="N35" s="15" t="n"/>
      <c r="O35" s="7" t="n"/>
    </row>
    <row r="36">
      <c r="A36" s="7" t="n"/>
      <c r="B36" s="7" t="n"/>
      <c r="C36" s="7" t="n"/>
      <c r="D36" s="15" t="n"/>
      <c r="E36" s="23" t="n"/>
      <c r="F36" s="15" t="n"/>
      <c r="G36" s="20">
        <f>IF(E36="","",IF(F36="$",E36*'Paramètres'!$C$5,E36))</f>
        <v/>
      </c>
      <c r="H36" s="20">
        <f>IF(J36&lt;&gt;"Oui",0,IF(D36="Mensuel",G36,IF(D36="Annuel",G36/12,0)))</f>
        <v/>
      </c>
      <c r="I36" s="20">
        <f>IF(J36&lt;&gt;"Oui",0,IF(D36="Ponctuel",G36,H36*12))</f>
        <v/>
      </c>
      <c r="J36" s="15" t="n"/>
      <c r="K36" s="21" t="n"/>
      <c r="L36" s="21" t="n"/>
      <c r="M36" s="15" t="n"/>
      <c r="N36" s="15" t="n"/>
      <c r="O36" s="7" t="n"/>
    </row>
    <row r="37">
      <c r="A37" s="7" t="n"/>
      <c r="B37" s="7" t="n"/>
      <c r="C37" s="7" t="n"/>
      <c r="D37" s="15" t="n"/>
      <c r="E37" s="23" t="n"/>
      <c r="F37" s="15" t="n"/>
      <c r="G37" s="20">
        <f>IF(E37="","",IF(F37="$",E37*'Paramètres'!$C$5,E37))</f>
        <v/>
      </c>
      <c r="H37" s="20">
        <f>IF(J37&lt;&gt;"Oui",0,IF(D37="Mensuel",G37,IF(D37="Annuel",G37/12,0)))</f>
        <v/>
      </c>
      <c r="I37" s="20">
        <f>IF(J37&lt;&gt;"Oui",0,IF(D37="Ponctuel",G37,H37*12))</f>
        <v/>
      </c>
      <c r="J37" s="15" t="n"/>
      <c r="K37" s="21" t="n"/>
      <c r="L37" s="21" t="n"/>
      <c r="M37" s="15" t="n"/>
      <c r="N37" s="15" t="n"/>
      <c r="O37" s="7" t="n"/>
    </row>
    <row r="38">
      <c r="A38" s="7" t="n"/>
      <c r="B38" s="7" t="n"/>
      <c r="C38" s="7" t="n"/>
      <c r="D38" s="15" t="n"/>
      <c r="E38" s="23" t="n"/>
      <c r="F38" s="15" t="n"/>
      <c r="G38" s="20">
        <f>IF(E38="","",IF(F38="$",E38*'Paramètres'!$C$5,E38))</f>
        <v/>
      </c>
      <c r="H38" s="20">
        <f>IF(J38&lt;&gt;"Oui",0,IF(D38="Mensuel",G38,IF(D38="Annuel",G38/12,0)))</f>
        <v/>
      </c>
      <c r="I38" s="20">
        <f>IF(J38&lt;&gt;"Oui",0,IF(D38="Ponctuel",G38,H38*12))</f>
        <v/>
      </c>
      <c r="J38" s="15" t="n"/>
      <c r="K38" s="21" t="n"/>
      <c r="L38" s="21" t="n"/>
      <c r="M38" s="15" t="n"/>
      <c r="N38" s="15" t="n"/>
      <c r="O38" s="7" t="n"/>
    </row>
    <row r="39">
      <c r="A39" s="7" t="n"/>
      <c r="B39" s="7" t="n"/>
      <c r="C39" s="7" t="n"/>
      <c r="D39" s="15" t="n"/>
      <c r="E39" s="23" t="n"/>
      <c r="F39" s="15" t="n"/>
      <c r="G39" s="20">
        <f>IF(E39="","",IF(F39="$",E39*'Paramètres'!$C$5,E39))</f>
        <v/>
      </c>
      <c r="H39" s="20">
        <f>IF(J39&lt;&gt;"Oui",0,IF(D39="Mensuel",G39,IF(D39="Annuel",G39/12,0)))</f>
        <v/>
      </c>
      <c r="I39" s="20">
        <f>IF(J39&lt;&gt;"Oui",0,IF(D39="Ponctuel",G39,H39*12))</f>
        <v/>
      </c>
      <c r="J39" s="15" t="n"/>
      <c r="K39" s="21" t="n"/>
      <c r="L39" s="21" t="n"/>
      <c r="M39" s="15" t="n"/>
      <c r="N39" s="15" t="n"/>
      <c r="O39" s="7" t="n"/>
    </row>
    <row r="40">
      <c r="A40" s="7" t="n"/>
      <c r="B40" s="7" t="n"/>
      <c r="C40" s="7" t="n"/>
      <c r="D40" s="15" t="n"/>
      <c r="E40" s="23" t="n"/>
      <c r="F40" s="15" t="n"/>
      <c r="G40" s="20">
        <f>IF(E40="","",IF(F40="$",E40*'Paramètres'!$C$5,E40))</f>
        <v/>
      </c>
      <c r="H40" s="20">
        <f>IF(J40&lt;&gt;"Oui",0,IF(D40="Mensuel",G40,IF(D40="Annuel",G40/12,0)))</f>
        <v/>
      </c>
      <c r="I40" s="20">
        <f>IF(J40&lt;&gt;"Oui",0,IF(D40="Ponctuel",G40,H40*12))</f>
        <v/>
      </c>
      <c r="J40" s="15" t="n"/>
      <c r="K40" s="21" t="n"/>
      <c r="L40" s="21" t="n"/>
      <c r="M40" s="15" t="n"/>
      <c r="N40" s="15" t="n"/>
      <c r="O40" s="7" t="n"/>
    </row>
    <row r="41">
      <c r="A41" s="7" t="n"/>
      <c r="B41" s="7" t="n"/>
      <c r="C41" s="7" t="n"/>
      <c r="D41" s="15" t="n"/>
      <c r="E41" s="23" t="n"/>
      <c r="F41" s="15" t="n"/>
      <c r="G41" s="20">
        <f>IF(E41="","",IF(F41="$",E41*'Paramètres'!$C$5,E41))</f>
        <v/>
      </c>
      <c r="H41" s="20">
        <f>IF(J41&lt;&gt;"Oui",0,IF(D41="Mensuel",G41,IF(D41="Annuel",G41/12,0)))</f>
        <v/>
      </c>
      <c r="I41" s="20">
        <f>IF(J41&lt;&gt;"Oui",0,IF(D41="Ponctuel",G41,H41*12))</f>
        <v/>
      </c>
      <c r="J41" s="15" t="n"/>
      <c r="K41" s="21" t="n"/>
      <c r="L41" s="21" t="n"/>
      <c r="M41" s="15" t="n"/>
      <c r="N41" s="15" t="n"/>
      <c r="O41" s="7" t="n"/>
    </row>
    <row r="42">
      <c r="A42" s="7" t="n"/>
      <c r="B42" s="7" t="n"/>
      <c r="C42" s="7" t="n"/>
      <c r="D42" s="15" t="n"/>
      <c r="E42" s="23" t="n"/>
      <c r="F42" s="15" t="n"/>
      <c r="G42" s="20">
        <f>IF(E42="","",IF(F42="$",E42*'Paramètres'!$C$5,E42))</f>
        <v/>
      </c>
      <c r="H42" s="20">
        <f>IF(J42&lt;&gt;"Oui",0,IF(D42="Mensuel",G42,IF(D42="Annuel",G42/12,0)))</f>
        <v/>
      </c>
      <c r="I42" s="20">
        <f>IF(J42&lt;&gt;"Oui",0,IF(D42="Ponctuel",G42,H42*12))</f>
        <v/>
      </c>
      <c r="J42" s="15" t="n"/>
      <c r="K42" s="21" t="n"/>
      <c r="L42" s="21" t="n"/>
      <c r="M42" s="15" t="n"/>
      <c r="N42" s="15" t="n"/>
      <c r="O42" s="7" t="n"/>
    </row>
    <row r="43">
      <c r="A43" s="7" t="n"/>
      <c r="B43" s="7" t="n"/>
      <c r="C43" s="7" t="n"/>
      <c r="D43" s="15" t="n"/>
      <c r="E43" s="23" t="n"/>
      <c r="F43" s="15" t="n"/>
      <c r="G43" s="20">
        <f>IF(E43="","",IF(F43="$",E43*'Paramètres'!$C$5,E43))</f>
        <v/>
      </c>
      <c r="H43" s="20">
        <f>IF(J43&lt;&gt;"Oui",0,IF(D43="Mensuel",G43,IF(D43="Annuel",G43/12,0)))</f>
        <v/>
      </c>
      <c r="I43" s="20">
        <f>IF(J43&lt;&gt;"Oui",0,IF(D43="Ponctuel",G43,H43*12))</f>
        <v/>
      </c>
      <c r="J43" s="15" t="n"/>
      <c r="K43" s="21" t="n"/>
      <c r="L43" s="21" t="n"/>
      <c r="M43" s="15" t="n"/>
      <c r="N43" s="15" t="n"/>
      <c r="O43" s="7" t="n"/>
    </row>
    <row r="44">
      <c r="A44" s="7" t="n"/>
      <c r="B44" s="7" t="n"/>
      <c r="C44" s="7" t="n"/>
      <c r="D44" s="15" t="n"/>
      <c r="E44" s="23" t="n"/>
      <c r="F44" s="15" t="n"/>
      <c r="G44" s="20">
        <f>IF(E44="","",IF(F44="$",E44*'Paramètres'!$C$5,E44))</f>
        <v/>
      </c>
      <c r="H44" s="20">
        <f>IF(J44&lt;&gt;"Oui",0,IF(D44="Mensuel",G44,IF(D44="Annuel",G44/12,0)))</f>
        <v/>
      </c>
      <c r="I44" s="20">
        <f>IF(J44&lt;&gt;"Oui",0,IF(D44="Ponctuel",G44,H44*12))</f>
        <v/>
      </c>
      <c r="J44" s="15" t="n"/>
      <c r="K44" s="21" t="n"/>
      <c r="L44" s="21" t="n"/>
      <c r="M44" s="15" t="n"/>
      <c r="N44" s="15" t="n"/>
      <c r="O44" s="7" t="n"/>
    </row>
    <row r="45">
      <c r="A45" s="7" t="n"/>
      <c r="B45" s="7" t="n"/>
      <c r="C45" s="7" t="n"/>
      <c r="D45" s="15" t="n"/>
      <c r="E45" s="23" t="n"/>
      <c r="F45" s="15" t="n"/>
      <c r="G45" s="20">
        <f>IF(E45="","",IF(F45="$",E45*'Paramètres'!$C$5,E45))</f>
        <v/>
      </c>
      <c r="H45" s="20">
        <f>IF(J45&lt;&gt;"Oui",0,IF(D45="Mensuel",G45,IF(D45="Annuel",G45/12,0)))</f>
        <v/>
      </c>
      <c r="I45" s="20">
        <f>IF(J45&lt;&gt;"Oui",0,IF(D45="Ponctuel",G45,H45*12))</f>
        <v/>
      </c>
      <c r="J45" s="15" t="n"/>
      <c r="K45" s="21" t="n"/>
      <c r="L45" s="21" t="n"/>
      <c r="M45" s="15" t="n"/>
      <c r="N45" s="15" t="n"/>
      <c r="O45" s="7" t="n"/>
    </row>
    <row r="46">
      <c r="A46" s="7" t="n"/>
      <c r="B46" s="7" t="n"/>
      <c r="C46" s="7" t="n"/>
      <c r="D46" s="15" t="n"/>
      <c r="E46" s="23" t="n"/>
      <c r="F46" s="15" t="n"/>
      <c r="G46" s="20">
        <f>IF(E46="","",IF(F46="$",E46*'Paramètres'!$C$5,E46))</f>
        <v/>
      </c>
      <c r="H46" s="20">
        <f>IF(J46&lt;&gt;"Oui",0,IF(D46="Mensuel",G46,IF(D46="Annuel",G46/12,0)))</f>
        <v/>
      </c>
      <c r="I46" s="20">
        <f>IF(J46&lt;&gt;"Oui",0,IF(D46="Ponctuel",G46,H46*12))</f>
        <v/>
      </c>
      <c r="J46" s="15" t="n"/>
      <c r="K46" s="21" t="n"/>
      <c r="L46" s="21" t="n"/>
      <c r="M46" s="15" t="n"/>
      <c r="N46" s="15" t="n"/>
      <c r="O46" s="7" t="n"/>
    </row>
    <row r="47">
      <c r="A47" s="7" t="n"/>
      <c r="B47" s="7" t="n"/>
      <c r="C47" s="7" t="n"/>
      <c r="D47" s="15" t="n"/>
      <c r="E47" s="23" t="n"/>
      <c r="F47" s="15" t="n"/>
      <c r="G47" s="20">
        <f>IF(E47="","",IF(F47="$",E47*'Paramètres'!$C$5,E47))</f>
        <v/>
      </c>
      <c r="H47" s="20">
        <f>IF(J47&lt;&gt;"Oui",0,IF(D47="Mensuel",G47,IF(D47="Annuel",G47/12,0)))</f>
        <v/>
      </c>
      <c r="I47" s="20">
        <f>IF(J47&lt;&gt;"Oui",0,IF(D47="Ponctuel",G47,H47*12))</f>
        <v/>
      </c>
      <c r="J47" s="15" t="n"/>
      <c r="K47" s="21" t="n"/>
      <c r="L47" s="21" t="n"/>
      <c r="M47" s="15" t="n"/>
      <c r="N47" s="15" t="n"/>
      <c r="O47" s="7" t="n"/>
    </row>
    <row r="48">
      <c r="A48" s="7" t="n"/>
      <c r="B48" s="7" t="n"/>
      <c r="C48" s="7" t="n"/>
      <c r="D48" s="15" t="n"/>
      <c r="E48" s="23" t="n"/>
      <c r="F48" s="15" t="n"/>
      <c r="G48" s="20">
        <f>IF(E48="","",IF(F48="$",E48*'Paramètres'!$C$5,E48))</f>
        <v/>
      </c>
      <c r="H48" s="20">
        <f>IF(J48&lt;&gt;"Oui",0,IF(D48="Mensuel",G48,IF(D48="Annuel",G48/12,0)))</f>
        <v/>
      </c>
      <c r="I48" s="20">
        <f>IF(J48&lt;&gt;"Oui",0,IF(D48="Ponctuel",G48,H48*12))</f>
        <v/>
      </c>
      <c r="J48" s="15" t="n"/>
      <c r="K48" s="21" t="n"/>
      <c r="L48" s="21" t="n"/>
      <c r="M48" s="15" t="n"/>
      <c r="N48" s="15" t="n"/>
      <c r="O48" s="7" t="n"/>
    </row>
    <row r="49">
      <c r="A49" s="7" t="n"/>
      <c r="B49" s="7" t="n"/>
      <c r="C49" s="7" t="n"/>
      <c r="D49" s="15" t="n"/>
      <c r="E49" s="23" t="n"/>
      <c r="F49" s="15" t="n"/>
      <c r="G49" s="20">
        <f>IF(E49="","",IF(F49="$",E49*'Paramètres'!$C$5,E49))</f>
        <v/>
      </c>
      <c r="H49" s="20">
        <f>IF(J49&lt;&gt;"Oui",0,IF(D49="Mensuel",G49,IF(D49="Annuel",G49/12,0)))</f>
        <v/>
      </c>
      <c r="I49" s="20">
        <f>IF(J49&lt;&gt;"Oui",0,IF(D49="Ponctuel",G49,H49*12))</f>
        <v/>
      </c>
      <c r="J49" s="15" t="n"/>
      <c r="K49" s="21" t="n"/>
      <c r="L49" s="21" t="n"/>
      <c r="M49" s="15" t="n"/>
      <c r="N49" s="15" t="n"/>
      <c r="O49" s="7" t="n"/>
    </row>
    <row r="50">
      <c r="A50" s="7" t="n"/>
      <c r="B50" s="7" t="n"/>
      <c r="C50" s="7" t="n"/>
      <c r="D50" s="15" t="n"/>
      <c r="E50" s="23" t="n"/>
      <c r="F50" s="15" t="n"/>
      <c r="G50" s="20">
        <f>IF(E50="","",IF(F50="$",E50*'Paramètres'!$C$5,E50))</f>
        <v/>
      </c>
      <c r="H50" s="20">
        <f>IF(J50&lt;&gt;"Oui",0,IF(D50="Mensuel",G50,IF(D50="Annuel",G50/12,0)))</f>
        <v/>
      </c>
      <c r="I50" s="20">
        <f>IF(J50&lt;&gt;"Oui",0,IF(D50="Ponctuel",G50,H50*12))</f>
        <v/>
      </c>
      <c r="J50" s="15" t="n"/>
      <c r="K50" s="21" t="n"/>
      <c r="L50" s="21" t="n"/>
      <c r="M50" s="15" t="n"/>
      <c r="N50" s="15" t="n"/>
      <c r="O50" s="7" t="n"/>
    </row>
    <row r="51">
      <c r="A51" s="7" t="n"/>
      <c r="B51" s="7" t="n"/>
      <c r="C51" s="7" t="n"/>
      <c r="D51" s="15" t="n"/>
      <c r="E51" s="23" t="n"/>
      <c r="F51" s="15" t="n"/>
      <c r="G51" s="20">
        <f>IF(E51="","",IF(F51="$",E51*'Paramètres'!$C$5,E51))</f>
        <v/>
      </c>
      <c r="H51" s="20">
        <f>IF(J51&lt;&gt;"Oui",0,IF(D51="Mensuel",G51,IF(D51="Annuel",G51/12,0)))</f>
        <v/>
      </c>
      <c r="I51" s="20">
        <f>IF(J51&lt;&gt;"Oui",0,IF(D51="Ponctuel",G51,H51*12))</f>
        <v/>
      </c>
      <c r="J51" s="15" t="n"/>
      <c r="K51" s="21" t="n"/>
      <c r="L51" s="21" t="n"/>
      <c r="M51" s="15" t="n"/>
      <c r="N51" s="15" t="n"/>
      <c r="O51" s="7" t="n"/>
    </row>
    <row r="52">
      <c r="A52" s="7" t="n"/>
      <c r="B52" s="7" t="n"/>
      <c r="C52" s="7" t="n"/>
      <c r="D52" s="15" t="n"/>
      <c r="E52" s="23" t="n"/>
      <c r="F52" s="15" t="n"/>
      <c r="G52" s="20">
        <f>IF(E52="","",IF(F52="$",E52*'Paramètres'!$C$5,E52))</f>
        <v/>
      </c>
      <c r="H52" s="20">
        <f>IF(J52&lt;&gt;"Oui",0,IF(D52="Mensuel",G52,IF(D52="Annuel",G52/12,0)))</f>
        <v/>
      </c>
      <c r="I52" s="20">
        <f>IF(J52&lt;&gt;"Oui",0,IF(D52="Ponctuel",G52,H52*12))</f>
        <v/>
      </c>
      <c r="J52" s="15" t="n"/>
      <c r="K52" s="21" t="n"/>
      <c r="L52" s="21" t="n"/>
      <c r="M52" s="15" t="n"/>
      <c r="N52" s="15" t="n"/>
      <c r="O52" s="7" t="n"/>
    </row>
    <row r="53">
      <c r="A53" s="7" t="n"/>
      <c r="B53" s="7" t="n"/>
      <c r="C53" s="7" t="n"/>
      <c r="D53" s="15" t="n"/>
      <c r="E53" s="23" t="n"/>
      <c r="F53" s="15" t="n"/>
      <c r="G53" s="20">
        <f>IF(E53="","",IF(F53="$",E53*'Paramètres'!$C$5,E53))</f>
        <v/>
      </c>
      <c r="H53" s="20">
        <f>IF(J53&lt;&gt;"Oui",0,IF(D53="Mensuel",G53,IF(D53="Annuel",G53/12,0)))</f>
        <v/>
      </c>
      <c r="I53" s="20">
        <f>IF(J53&lt;&gt;"Oui",0,IF(D53="Ponctuel",G53,H53*12))</f>
        <v/>
      </c>
      <c r="J53" s="15" t="n"/>
      <c r="K53" s="21" t="n"/>
      <c r="L53" s="21" t="n"/>
      <c r="M53" s="15" t="n"/>
      <c r="N53" s="15" t="n"/>
      <c r="O53" s="7" t="n"/>
    </row>
    <row r="54">
      <c r="A54" s="7" t="n"/>
      <c r="B54" s="7" t="n"/>
      <c r="C54" s="7" t="n"/>
      <c r="D54" s="15" t="n"/>
      <c r="E54" s="23" t="n"/>
      <c r="F54" s="15" t="n"/>
      <c r="G54" s="20">
        <f>IF(E54="","",IF(F54="$",E54*'Paramètres'!$C$5,E54))</f>
        <v/>
      </c>
      <c r="H54" s="20">
        <f>IF(J54&lt;&gt;"Oui",0,IF(D54="Mensuel",G54,IF(D54="Annuel",G54/12,0)))</f>
        <v/>
      </c>
      <c r="I54" s="20">
        <f>IF(J54&lt;&gt;"Oui",0,IF(D54="Ponctuel",G54,H54*12))</f>
        <v/>
      </c>
      <c r="J54" s="15" t="n"/>
      <c r="K54" s="21" t="n"/>
      <c r="L54" s="21" t="n"/>
      <c r="M54" s="15" t="n"/>
      <c r="N54" s="15" t="n"/>
      <c r="O54" s="7" t="n"/>
    </row>
    <row r="55">
      <c r="A55" s="7" t="n"/>
      <c r="B55" s="7" t="n"/>
      <c r="C55" s="7" t="n"/>
      <c r="D55" s="15" t="n"/>
      <c r="E55" s="23" t="n"/>
      <c r="F55" s="15" t="n"/>
      <c r="G55" s="20">
        <f>IF(E55="","",IF(F55="$",E55*'Paramètres'!$C$5,E55))</f>
        <v/>
      </c>
      <c r="H55" s="20">
        <f>IF(J55&lt;&gt;"Oui",0,IF(D55="Mensuel",G55,IF(D55="Annuel",G55/12,0)))</f>
        <v/>
      </c>
      <c r="I55" s="20">
        <f>IF(J55&lt;&gt;"Oui",0,IF(D55="Ponctuel",G55,H55*12))</f>
        <v/>
      </c>
      <c r="J55" s="15" t="n"/>
      <c r="K55" s="21" t="n"/>
      <c r="L55" s="21" t="n"/>
      <c r="M55" s="15" t="n"/>
      <c r="N55" s="15" t="n"/>
      <c r="O55" s="7" t="n"/>
    </row>
    <row r="56">
      <c r="A56" s="7" t="n"/>
      <c r="B56" s="7" t="n"/>
      <c r="C56" s="7" t="n"/>
      <c r="D56" s="15" t="n"/>
      <c r="E56" s="23" t="n"/>
      <c r="F56" s="15" t="n"/>
      <c r="G56" s="20">
        <f>IF(E56="","",IF(F56="$",E56*'Paramètres'!$C$5,E56))</f>
        <v/>
      </c>
      <c r="H56" s="20">
        <f>IF(J56&lt;&gt;"Oui",0,IF(D56="Mensuel",G56,IF(D56="Annuel",G56/12,0)))</f>
        <v/>
      </c>
      <c r="I56" s="20">
        <f>IF(J56&lt;&gt;"Oui",0,IF(D56="Ponctuel",G56,H56*12))</f>
        <v/>
      </c>
      <c r="J56" s="15" t="n"/>
      <c r="K56" s="21" t="n"/>
      <c r="L56" s="21" t="n"/>
      <c r="M56" s="15" t="n"/>
      <c r="N56" s="15" t="n"/>
      <c r="O56" s="7" t="n"/>
    </row>
    <row r="57">
      <c r="A57" s="7" t="n"/>
      <c r="B57" s="7" t="n"/>
      <c r="C57" s="7" t="n"/>
      <c r="D57" s="15" t="n"/>
      <c r="E57" s="23" t="n"/>
      <c r="F57" s="15" t="n"/>
      <c r="G57" s="20">
        <f>IF(E57="","",IF(F57="$",E57*'Paramètres'!$C$5,E57))</f>
        <v/>
      </c>
      <c r="H57" s="20">
        <f>IF(J57&lt;&gt;"Oui",0,IF(D57="Mensuel",G57,IF(D57="Annuel",G57/12,0)))</f>
        <v/>
      </c>
      <c r="I57" s="20">
        <f>IF(J57&lt;&gt;"Oui",0,IF(D57="Ponctuel",G57,H57*12))</f>
        <v/>
      </c>
      <c r="J57" s="15" t="n"/>
      <c r="K57" s="21" t="n"/>
      <c r="L57" s="21" t="n"/>
      <c r="M57" s="15" t="n"/>
      <c r="N57" s="15" t="n"/>
      <c r="O57" s="7" t="n"/>
    </row>
    <row r="58">
      <c r="A58" s="7" t="n"/>
      <c r="B58" s="7" t="n"/>
      <c r="C58" s="7" t="n"/>
      <c r="D58" s="15" t="n"/>
      <c r="E58" s="23" t="n"/>
      <c r="F58" s="15" t="n"/>
      <c r="G58" s="20">
        <f>IF(E58="","",IF(F58="$",E58*'Paramètres'!$C$5,E58))</f>
        <v/>
      </c>
      <c r="H58" s="20">
        <f>IF(J58&lt;&gt;"Oui",0,IF(D58="Mensuel",G58,IF(D58="Annuel",G58/12,0)))</f>
        <v/>
      </c>
      <c r="I58" s="20">
        <f>IF(J58&lt;&gt;"Oui",0,IF(D58="Ponctuel",G58,H58*12))</f>
        <v/>
      </c>
      <c r="J58" s="15" t="n"/>
      <c r="K58" s="21" t="n"/>
      <c r="L58" s="21" t="n"/>
      <c r="M58" s="15" t="n"/>
      <c r="N58" s="15" t="n"/>
      <c r="O58" s="7" t="n"/>
    </row>
    <row r="59">
      <c r="A59" s="7" t="n"/>
      <c r="B59" s="7" t="n"/>
      <c r="C59" s="7" t="n"/>
      <c r="D59" s="15" t="n"/>
      <c r="E59" s="23" t="n"/>
      <c r="F59" s="15" t="n"/>
      <c r="G59" s="20">
        <f>IF(E59="","",IF(F59="$",E59*'Paramètres'!$C$5,E59))</f>
        <v/>
      </c>
      <c r="H59" s="20">
        <f>IF(J59&lt;&gt;"Oui",0,IF(D59="Mensuel",G59,IF(D59="Annuel",G59/12,0)))</f>
        <v/>
      </c>
      <c r="I59" s="20">
        <f>IF(J59&lt;&gt;"Oui",0,IF(D59="Ponctuel",G59,H59*12))</f>
        <v/>
      </c>
      <c r="J59" s="15" t="n"/>
      <c r="K59" s="21" t="n"/>
      <c r="L59" s="21" t="n"/>
      <c r="M59" s="15" t="n"/>
      <c r="N59" s="15" t="n"/>
      <c r="O59" s="7" t="n"/>
    </row>
    <row r="60">
      <c r="A60" s="7" t="n"/>
      <c r="B60" s="7" t="n"/>
      <c r="C60" s="7" t="n"/>
      <c r="D60" s="15" t="n"/>
      <c r="E60" s="23" t="n"/>
      <c r="F60" s="15" t="n"/>
      <c r="G60" s="20">
        <f>IF(E60="","",IF(F60="$",E60*'Paramètres'!$C$5,E60))</f>
        <v/>
      </c>
      <c r="H60" s="20">
        <f>IF(J60&lt;&gt;"Oui",0,IF(D60="Mensuel",G60,IF(D60="Annuel",G60/12,0)))</f>
        <v/>
      </c>
      <c r="I60" s="20">
        <f>IF(J60&lt;&gt;"Oui",0,IF(D60="Ponctuel",G60,H60*12))</f>
        <v/>
      </c>
      <c r="J60" s="15" t="n"/>
      <c r="K60" s="21" t="n"/>
      <c r="L60" s="21" t="n"/>
      <c r="M60" s="15" t="n"/>
      <c r="N60" s="15" t="n"/>
      <c r="O60" s="7" t="n"/>
    </row>
    <row r="62">
      <c r="B62" s="5" t="inlineStr">
        <is>
          <t>Totaux (lignes Inclus = Oui)</t>
        </is>
      </c>
    </row>
    <row r="63">
      <c r="B63" s="7" t="inlineStr">
        <is>
          <t>Abonnements mensuels (€/mois)</t>
        </is>
      </c>
      <c r="C63" s="24">
        <f>SUMIFS(H5:H60,D5:D60,"Mensuel")</f>
        <v/>
      </c>
    </row>
    <row r="64">
      <c r="B64" s="7" t="inlineStr">
        <is>
          <t>Frais annuels ramenés au mois (€/mois)</t>
        </is>
      </c>
      <c r="C64" s="24">
        <f>SUMIFS(H5:H60,D5:D60,"Annuel")</f>
        <v/>
      </c>
    </row>
    <row r="65">
      <c r="B65" s="7" t="inlineStr">
        <is>
          <t>Total des frais fixes (€/mois)</t>
        </is>
      </c>
      <c r="C65" s="24">
        <f>C63+C64</f>
        <v/>
      </c>
    </row>
    <row r="66">
      <c r="B66" s="7" t="inlineStr">
        <is>
          <t>Total des frais fixes (€/an)</t>
        </is>
      </c>
      <c r="C66" s="24">
        <f>C65*12</f>
        <v/>
      </c>
    </row>
    <row r="67">
      <c r="B67" s="7" t="inlineStr">
        <is>
          <t>Dépenses ponctuelles prévues (€)</t>
        </is>
      </c>
      <c r="C67" s="24">
        <f>SUMIFS(I5:I60,D5:D60,"Ponctuel")</f>
        <v/>
      </c>
    </row>
    <row r="68">
      <c r="B68" s="7" t="inlineStr">
        <is>
          <t>Dont payé par Daouda — frais fixes (€/mois)</t>
        </is>
      </c>
      <c r="C68" s="24">
        <f>SUMIFS(H5:H60,M5:M60,"Daouda")</f>
        <v/>
      </c>
    </row>
    <row r="69">
      <c r="B69" s="7" t="inlineStr">
        <is>
          <t>Dont payé par Régis — frais fixes (€/mois)</t>
        </is>
      </c>
      <c r="C69" s="24">
        <f>SUMIFS(H5:H60,M5:M60,"Régis")</f>
        <v/>
      </c>
    </row>
    <row r="72">
      <c r="B72" s="5" t="inlineStr">
        <is>
          <t>Par catégorie (frais fixes €/mois · ponctuels €)</t>
        </is>
      </c>
    </row>
    <row r="73">
      <c r="B73" s="7" t="inlineStr">
        <is>
          <t>Infrastructure</t>
        </is>
      </c>
      <c r="C73" s="20">
        <f>SUMIFS(H5:H60,A5:A60,B73)</f>
        <v/>
      </c>
      <c r="D73" s="20">
        <f>SUMIFS(I5:I60,A5:A60,B73,D5:D60,"Ponctuel")</f>
        <v/>
      </c>
    </row>
    <row r="74">
      <c r="B74" s="7" t="inlineStr">
        <is>
          <t>IA</t>
        </is>
      </c>
      <c r="C74" s="20">
        <f>SUMIFS(H5:H60,A5:A60,B74)</f>
        <v/>
      </c>
      <c r="D74" s="20">
        <f>SUMIFS(I5:I60,A5:A60,B74,D5:D60,"Ponctuel")</f>
        <v/>
      </c>
    </row>
    <row r="75">
      <c r="B75" s="7" t="inlineStr">
        <is>
          <t>Démarches</t>
        </is>
      </c>
      <c r="C75" s="20">
        <f>SUMIFS(H5:H60,A5:A60,B75)</f>
        <v/>
      </c>
      <c r="D75" s="20">
        <f>SUMIFS(I5:I60,A5:A60,B75,D5:D60,"Ponctuel")</f>
        <v/>
      </c>
    </row>
    <row r="76">
      <c r="B76" s="7" t="inlineStr">
        <is>
          <t>Commercial</t>
        </is>
      </c>
      <c r="C76" s="20">
        <f>SUMIFS(H5:H60,A5:A60,B76)</f>
        <v/>
      </c>
      <c r="D76" s="20">
        <f>SUMIFS(I5:I60,A5:A60,B76,D5:D60,"Ponctuel")</f>
        <v/>
      </c>
    </row>
    <row r="77">
      <c r="B77" s="7" t="inlineStr">
        <is>
          <t>Paiement</t>
        </is>
      </c>
      <c r="C77" s="20">
        <f>SUMIFS(H5:H60,A5:A60,B77)</f>
        <v/>
      </c>
      <c r="D77" s="20">
        <f>SUMIFS(I5:I60,A5:A60,B77,D5:D60,"Ponctuel")</f>
        <v/>
      </c>
    </row>
  </sheetData>
  <autoFilter ref="A4:O60"/>
  <dataValidations count="4">
    <dataValidation sqref="D5:D60" showDropDown="0" showInputMessage="0" showErrorMessage="0" allowBlank="1" type="list">
      <formula1>"Mensuel,Annuel,Ponctuel,Variable"</formula1>
    </dataValidation>
    <dataValidation sqref="F5:F60" showDropDown="0" showInputMessage="0" showErrorMessage="0" allowBlank="1" type="list">
      <formula1>"€,$"</formula1>
    </dataValidation>
    <dataValidation sqref="J5:J60" showDropDown="0" showInputMessage="0" showErrorMessage="0" allowBlank="1" type="list">
      <formula1>"Oui,Non"</formula1>
    </dataValidation>
    <dataValidation sqref="N5:N60" showDropDown="0" showInputMessage="0" showErrorMessage="0" allowBlank="1" type="list">
      <formula1>"Payé,Engagé,Estimation,À renseigner"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9" customWidth="1" min="3" max="3"/>
    <col width="12" customWidth="1" min="4" max="4"/>
    <col width="12" customWidth="1" min="5" max="5"/>
    <col width="11" customWidth="1" min="6" max="6"/>
    <col width="11" customWidth="1" min="7" max="7"/>
    <col width="12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  <col width="11" customWidth="1" min="14" max="14"/>
    <col width="11" customWidth="1" min="15" max="15"/>
    <col width="12" customWidth="1" min="16" max="16"/>
    <col width="12" customWidth="1" min="17" max="17"/>
    <col width="13" customWidth="1" min="18" max="18"/>
    <col width="12" customWidth="1" min="19" max="19"/>
    <col width="14" customWidth="1" min="20" max="20"/>
  </cols>
  <sheetData>
    <row r="1">
      <c r="A1" s="4" t="inlineStr">
        <is>
          <t>Projection sur 24 mois</t>
        </is>
      </c>
    </row>
    <row r="2">
      <c r="A2" s="11">
        <f>"Scénario : "&amp;'Paramètres'!C3&amp;" — changer dans Paramètres. Colonne Apports : à saisir (argent mis par les associés)."</f>
        <v/>
      </c>
    </row>
    <row r="4" ht="45" customHeight="1">
      <c r="A4" s="6" t="inlineStr">
        <is>
          <t>N°</t>
        </is>
      </c>
      <c r="B4" s="6" t="inlineStr">
        <is>
          <t>Mois</t>
        </is>
      </c>
      <c r="C4" s="6" t="inlineStr">
        <is>
          <t>Année</t>
        </is>
      </c>
      <c r="D4" s="6" t="inlineStr">
        <is>
          <t>Nouveaux clients Entreprise</t>
        </is>
      </c>
      <c r="E4" s="6" t="inlineStr">
        <is>
          <t>Clients Entreprise actifs</t>
        </is>
      </c>
      <c r="F4" s="6" t="inlineStr">
        <is>
          <t>Nouveaux Particulier</t>
        </is>
      </c>
      <c r="G4" s="6" t="inlineStr">
        <is>
          <t>Actifs Particulier</t>
        </is>
      </c>
      <c r="H4" s="6" t="inlineStr">
        <is>
          <t>Nouveaux AideHandicap</t>
        </is>
      </c>
      <c r="I4" s="6" t="inlineStr">
        <is>
          <t>Actifs AideHandicap</t>
        </is>
      </c>
      <c r="J4" s="6" t="inlineStr">
        <is>
          <t>CA installations</t>
        </is>
      </c>
      <c r="K4" s="6" t="inlineStr">
        <is>
          <t>CA abonnements</t>
        </is>
      </c>
      <c r="L4" s="6" t="inlineStr">
        <is>
          <t>CA total</t>
        </is>
      </c>
      <c r="M4" s="6" t="inlineStr">
        <is>
          <t>Coûts variables</t>
        </is>
      </c>
      <c r="N4" s="6" t="inlineStr">
        <is>
          <t>Frais Stripe</t>
        </is>
      </c>
      <c r="O4" s="6" t="inlineStr">
        <is>
          <t>Frais fixes</t>
        </is>
      </c>
      <c r="P4" s="6" t="inlineStr">
        <is>
          <t>Dépenses ponctuelles</t>
        </is>
      </c>
      <c r="Q4" s="6" t="inlineStr">
        <is>
          <t>Cotisations et impôt</t>
        </is>
      </c>
      <c r="R4" s="6" t="inlineStr">
        <is>
          <t>Résultat du mois</t>
        </is>
      </c>
      <c r="S4" s="6" t="inlineStr">
        <is>
          <t>Apports des associés</t>
        </is>
      </c>
      <c r="T4" s="6" t="inlineStr">
        <is>
          <t>Trésorerie fin de mois</t>
        </is>
      </c>
    </row>
    <row r="5">
      <c r="A5" s="25" t="n">
        <v>1</v>
      </c>
      <c r="B5" s="26">
        <f>EDATE('Paramètres'!$C$28,A5-1)</f>
        <v/>
      </c>
      <c r="C5" s="7">
        <f>IF(A5&lt;=12,"Année 1","Année 2")</f>
        <v/>
      </c>
      <c r="D5" s="27">
        <f>IF(A5&gt;='Paramètres'!$C$8,'Paramètres'!$C$9,0)</f>
        <v/>
      </c>
      <c r="E5" s="27">
        <f>D5</f>
        <v/>
      </c>
      <c r="F5" s="27">
        <f>IF(A5&gt;='Paramètres'!$C$13,'Paramètres'!$C$14,0)</f>
        <v/>
      </c>
      <c r="G5" s="27">
        <f>F5</f>
        <v/>
      </c>
      <c r="H5" s="27">
        <f>IF(A5&gt;='Paramètres'!$C$13,'Paramètres'!$C$15,0)</f>
        <v/>
      </c>
      <c r="I5" s="27">
        <f>H5</f>
        <v/>
      </c>
      <c r="J5" s="8">
        <f>D5*'Paramètres'!$C$19+F5*'Paramètres'!$C$20+H5*'Paramètres'!$C$21</f>
        <v/>
      </c>
      <c r="K5" s="8">
        <f>E5*'Paramètres'!$D$19+G5*'Paramètres'!$D$20+I5*'Paramètres'!$D$21</f>
        <v/>
      </c>
      <c r="L5" s="9">
        <f>J5+K5</f>
        <v/>
      </c>
      <c r="M5" s="8">
        <f>E5*'Paramètres'!$C$11+G5*'Paramètres'!$E$20+I5*'Paramètres'!$E$21</f>
        <v/>
      </c>
      <c r="N5" s="8">
        <f>L5*'Paramètres'!$C$24+(D5+E5+F5+G5+H5+I5)*'Paramètres'!$C$25</f>
        <v/>
      </c>
      <c r="O5" s="8">
        <f>SUMPRODUCT(('Coûts'!$D$5:$D$60="Mensuel")*('Coûts'!$J$5:$J$60="Oui")*('Coûts'!$K$5:$K$60&lt;=EOMONTH(B5,0))*(('Coûts'!$L$5:$L$60="")+('Coûts'!$L$5:$L$60&gt;=B5)&gt;0)*'Coûts'!$H$5:$H$60)+SUMPRODUCT(('Coûts'!$D$5:$D$60="Annuel")*('Coûts'!$J$5:$J$60="Oui")*('Coûts'!$K$5:$K$60&lt;=EOMONTH(B5,0))*(('Coûts'!$L$5:$L$60="")+('Coûts'!$L$5:$L$60&gt;=B5)&gt;0)*'Coûts'!$H$5:$H$60)+'Paramètres'!$C$12</f>
        <v/>
      </c>
      <c r="P5" s="8">
        <f>SUMPRODUCT(('Coûts'!$D$5:$D$60="Ponctuel")*('Coûts'!$J$5:$J$60="Oui")*('Coûts'!$K$5:$K$60&lt;=EOMONTH(B5,0))*((('Coûts'!$K$5:$K$60&gt;=B5)+(A5=1))&gt;0)*'Coûts'!$I$5:$I$60)</f>
        <v/>
      </c>
      <c r="Q5" s="8">
        <f>L5*('Paramètres'!$C$26+'Paramètres'!$C$27)</f>
        <v/>
      </c>
      <c r="R5" s="9">
        <f>L5-M5-N5-O5-P5-Q5</f>
        <v/>
      </c>
      <c r="S5" s="22" t="n">
        <v>0</v>
      </c>
      <c r="T5" s="9">
        <f>R5+S5</f>
        <v/>
      </c>
    </row>
    <row r="6">
      <c r="A6" s="25" t="n">
        <v>2</v>
      </c>
      <c r="B6" s="26">
        <f>EDATE('Paramètres'!$C$28,A6-1)</f>
        <v/>
      </c>
      <c r="C6" s="7">
        <f>IF(A6&lt;=12,"Année 1","Année 2")</f>
        <v/>
      </c>
      <c r="D6" s="27">
        <f>IF(A6&gt;='Paramètres'!$C$8,'Paramètres'!$C$9,0)</f>
        <v/>
      </c>
      <c r="E6" s="27">
        <f>E5*(1-'Paramètres'!$C$10)+D6</f>
        <v/>
      </c>
      <c r="F6" s="27">
        <f>IF(A6&gt;='Paramètres'!$C$13,'Paramètres'!$C$14,0)</f>
        <v/>
      </c>
      <c r="G6" s="27">
        <f>G5*(1-'Paramètres'!$C$10)+F6</f>
        <v/>
      </c>
      <c r="H6" s="27">
        <f>IF(A6&gt;='Paramètres'!$C$13,'Paramètres'!$C$15,0)</f>
        <v/>
      </c>
      <c r="I6" s="27">
        <f>I5*(1-'Paramètres'!$C$10)+H6</f>
        <v/>
      </c>
      <c r="J6" s="8">
        <f>D6*'Paramètres'!$C$19+F6*'Paramètres'!$C$20+H6*'Paramètres'!$C$21</f>
        <v/>
      </c>
      <c r="K6" s="8">
        <f>E6*'Paramètres'!$D$19+G6*'Paramètres'!$D$20+I6*'Paramètres'!$D$21</f>
        <v/>
      </c>
      <c r="L6" s="9">
        <f>J6+K6</f>
        <v/>
      </c>
      <c r="M6" s="8">
        <f>E6*'Paramètres'!$C$11+G6*'Paramètres'!$E$20+I6*'Paramètres'!$E$21</f>
        <v/>
      </c>
      <c r="N6" s="8">
        <f>L6*'Paramètres'!$C$24+(D6+E6+F6+G6+H6+I6)*'Paramètres'!$C$25</f>
        <v/>
      </c>
      <c r="O6" s="8">
        <f>SUMPRODUCT(('Coûts'!$D$5:$D$60="Mensuel")*('Coûts'!$J$5:$J$60="Oui")*('Coûts'!$K$5:$K$60&lt;=EOMONTH(B6,0))*(('Coûts'!$L$5:$L$60="")+('Coûts'!$L$5:$L$60&gt;=B6)&gt;0)*'Coûts'!$H$5:$H$60)+SUMPRODUCT(('Coûts'!$D$5:$D$60="Annuel")*('Coûts'!$J$5:$J$60="Oui")*('Coûts'!$K$5:$K$60&lt;=EOMONTH(B6,0))*(('Coûts'!$L$5:$L$60="")+('Coûts'!$L$5:$L$60&gt;=B6)&gt;0)*'Coûts'!$H$5:$H$60)+'Paramètres'!$C$12</f>
        <v/>
      </c>
      <c r="P6" s="8">
        <f>SUMPRODUCT(('Coûts'!$D$5:$D$60="Ponctuel")*('Coûts'!$J$5:$J$60="Oui")*('Coûts'!$K$5:$K$60&lt;=EOMONTH(B6,0))*((('Coûts'!$K$5:$K$60&gt;=B6)+(A6=1))&gt;0)*'Coûts'!$I$5:$I$60)</f>
        <v/>
      </c>
      <c r="Q6" s="8">
        <f>L6*('Paramètres'!$C$26+'Paramètres'!$C$27)</f>
        <v/>
      </c>
      <c r="R6" s="9">
        <f>L6-M6-N6-O6-P6-Q6</f>
        <v/>
      </c>
      <c r="S6" s="22" t="n">
        <v>0</v>
      </c>
      <c r="T6" s="9">
        <f>T5+R6+S6</f>
        <v/>
      </c>
    </row>
    <row r="7">
      <c r="A7" s="25" t="n">
        <v>3</v>
      </c>
      <c r="B7" s="26">
        <f>EDATE('Paramètres'!$C$28,A7-1)</f>
        <v/>
      </c>
      <c r="C7" s="7">
        <f>IF(A7&lt;=12,"Année 1","Année 2")</f>
        <v/>
      </c>
      <c r="D7" s="27">
        <f>IF(A7&gt;='Paramètres'!$C$8,'Paramètres'!$C$9,0)</f>
        <v/>
      </c>
      <c r="E7" s="27">
        <f>E6*(1-'Paramètres'!$C$10)+D7</f>
        <v/>
      </c>
      <c r="F7" s="27">
        <f>IF(A7&gt;='Paramètres'!$C$13,'Paramètres'!$C$14,0)</f>
        <v/>
      </c>
      <c r="G7" s="27">
        <f>G6*(1-'Paramètres'!$C$10)+F7</f>
        <v/>
      </c>
      <c r="H7" s="27">
        <f>IF(A7&gt;='Paramètres'!$C$13,'Paramètres'!$C$15,0)</f>
        <v/>
      </c>
      <c r="I7" s="27">
        <f>I6*(1-'Paramètres'!$C$10)+H7</f>
        <v/>
      </c>
      <c r="J7" s="8">
        <f>D7*'Paramètres'!$C$19+F7*'Paramètres'!$C$20+H7*'Paramètres'!$C$21</f>
        <v/>
      </c>
      <c r="K7" s="8">
        <f>E7*'Paramètres'!$D$19+G7*'Paramètres'!$D$20+I7*'Paramètres'!$D$21</f>
        <v/>
      </c>
      <c r="L7" s="9">
        <f>J7+K7</f>
        <v/>
      </c>
      <c r="M7" s="8">
        <f>E7*'Paramètres'!$C$11+G7*'Paramètres'!$E$20+I7*'Paramètres'!$E$21</f>
        <v/>
      </c>
      <c r="N7" s="8">
        <f>L7*'Paramètres'!$C$24+(D7+E7+F7+G7+H7+I7)*'Paramètres'!$C$25</f>
        <v/>
      </c>
      <c r="O7" s="8">
        <f>SUMPRODUCT(('Coûts'!$D$5:$D$60="Mensuel")*('Coûts'!$J$5:$J$60="Oui")*('Coûts'!$K$5:$K$60&lt;=EOMONTH(B7,0))*(('Coûts'!$L$5:$L$60="")+('Coûts'!$L$5:$L$60&gt;=B7)&gt;0)*'Coûts'!$H$5:$H$60)+SUMPRODUCT(('Coûts'!$D$5:$D$60="Annuel")*('Coûts'!$J$5:$J$60="Oui")*('Coûts'!$K$5:$K$60&lt;=EOMONTH(B7,0))*(('Coûts'!$L$5:$L$60="")+('Coûts'!$L$5:$L$60&gt;=B7)&gt;0)*'Coûts'!$H$5:$H$60)+'Paramètres'!$C$12</f>
        <v/>
      </c>
      <c r="P7" s="8">
        <f>SUMPRODUCT(('Coûts'!$D$5:$D$60="Ponctuel")*('Coûts'!$J$5:$J$60="Oui")*('Coûts'!$K$5:$K$60&lt;=EOMONTH(B7,0))*((('Coûts'!$K$5:$K$60&gt;=B7)+(A7=1))&gt;0)*'Coûts'!$I$5:$I$60)</f>
        <v/>
      </c>
      <c r="Q7" s="8">
        <f>L7*('Paramètres'!$C$26+'Paramètres'!$C$27)</f>
        <v/>
      </c>
      <c r="R7" s="9">
        <f>L7-M7-N7-O7-P7-Q7</f>
        <v/>
      </c>
      <c r="S7" s="22" t="n">
        <v>0</v>
      </c>
      <c r="T7" s="9">
        <f>T6+R7+S7</f>
        <v/>
      </c>
    </row>
    <row r="8">
      <c r="A8" s="25" t="n">
        <v>4</v>
      </c>
      <c r="B8" s="26">
        <f>EDATE('Paramètres'!$C$28,A8-1)</f>
        <v/>
      </c>
      <c r="C8" s="7">
        <f>IF(A8&lt;=12,"Année 1","Année 2")</f>
        <v/>
      </c>
      <c r="D8" s="27">
        <f>IF(A8&gt;='Paramètres'!$C$8,'Paramètres'!$C$9,0)</f>
        <v/>
      </c>
      <c r="E8" s="27">
        <f>E7*(1-'Paramètres'!$C$10)+D8</f>
        <v/>
      </c>
      <c r="F8" s="27">
        <f>IF(A8&gt;='Paramètres'!$C$13,'Paramètres'!$C$14,0)</f>
        <v/>
      </c>
      <c r="G8" s="27">
        <f>G7*(1-'Paramètres'!$C$10)+F8</f>
        <v/>
      </c>
      <c r="H8" s="27">
        <f>IF(A8&gt;='Paramètres'!$C$13,'Paramètres'!$C$15,0)</f>
        <v/>
      </c>
      <c r="I8" s="27">
        <f>I7*(1-'Paramètres'!$C$10)+H8</f>
        <v/>
      </c>
      <c r="J8" s="8">
        <f>D8*'Paramètres'!$C$19+F8*'Paramètres'!$C$20+H8*'Paramètres'!$C$21</f>
        <v/>
      </c>
      <c r="K8" s="8">
        <f>E8*'Paramètres'!$D$19+G8*'Paramètres'!$D$20+I8*'Paramètres'!$D$21</f>
        <v/>
      </c>
      <c r="L8" s="9">
        <f>J8+K8</f>
        <v/>
      </c>
      <c r="M8" s="8">
        <f>E8*'Paramètres'!$C$11+G8*'Paramètres'!$E$20+I8*'Paramètres'!$E$21</f>
        <v/>
      </c>
      <c r="N8" s="8">
        <f>L8*'Paramètres'!$C$24+(D8+E8+F8+G8+H8+I8)*'Paramètres'!$C$25</f>
        <v/>
      </c>
      <c r="O8" s="8">
        <f>SUMPRODUCT(('Coûts'!$D$5:$D$60="Mensuel")*('Coûts'!$J$5:$J$60="Oui")*('Coûts'!$K$5:$K$60&lt;=EOMONTH(B8,0))*(('Coûts'!$L$5:$L$60="")+('Coûts'!$L$5:$L$60&gt;=B8)&gt;0)*'Coûts'!$H$5:$H$60)+SUMPRODUCT(('Coûts'!$D$5:$D$60="Annuel")*('Coûts'!$J$5:$J$60="Oui")*('Coûts'!$K$5:$K$60&lt;=EOMONTH(B8,0))*(('Coûts'!$L$5:$L$60="")+('Coûts'!$L$5:$L$60&gt;=B8)&gt;0)*'Coûts'!$H$5:$H$60)+'Paramètres'!$C$12</f>
        <v/>
      </c>
      <c r="P8" s="8">
        <f>SUMPRODUCT(('Coûts'!$D$5:$D$60="Ponctuel")*('Coûts'!$J$5:$J$60="Oui")*('Coûts'!$K$5:$K$60&lt;=EOMONTH(B8,0))*((('Coûts'!$K$5:$K$60&gt;=B8)+(A8=1))&gt;0)*'Coûts'!$I$5:$I$60)</f>
        <v/>
      </c>
      <c r="Q8" s="8">
        <f>L8*('Paramètres'!$C$26+'Paramètres'!$C$27)</f>
        <v/>
      </c>
      <c r="R8" s="9">
        <f>L8-M8-N8-O8-P8-Q8</f>
        <v/>
      </c>
      <c r="S8" s="22" t="n">
        <v>0</v>
      </c>
      <c r="T8" s="9">
        <f>T7+R8+S8</f>
        <v/>
      </c>
    </row>
    <row r="9">
      <c r="A9" s="25" t="n">
        <v>5</v>
      </c>
      <c r="B9" s="26">
        <f>EDATE('Paramètres'!$C$28,A9-1)</f>
        <v/>
      </c>
      <c r="C9" s="7">
        <f>IF(A9&lt;=12,"Année 1","Année 2")</f>
        <v/>
      </c>
      <c r="D9" s="27">
        <f>IF(A9&gt;='Paramètres'!$C$8,'Paramètres'!$C$9,0)</f>
        <v/>
      </c>
      <c r="E9" s="27">
        <f>E8*(1-'Paramètres'!$C$10)+D9</f>
        <v/>
      </c>
      <c r="F9" s="27">
        <f>IF(A9&gt;='Paramètres'!$C$13,'Paramètres'!$C$14,0)</f>
        <v/>
      </c>
      <c r="G9" s="27">
        <f>G8*(1-'Paramètres'!$C$10)+F9</f>
        <v/>
      </c>
      <c r="H9" s="27">
        <f>IF(A9&gt;='Paramètres'!$C$13,'Paramètres'!$C$15,0)</f>
        <v/>
      </c>
      <c r="I9" s="27">
        <f>I8*(1-'Paramètres'!$C$10)+H9</f>
        <v/>
      </c>
      <c r="J9" s="8">
        <f>D9*'Paramètres'!$C$19+F9*'Paramètres'!$C$20+H9*'Paramètres'!$C$21</f>
        <v/>
      </c>
      <c r="K9" s="8">
        <f>E9*'Paramètres'!$D$19+G9*'Paramètres'!$D$20+I9*'Paramètres'!$D$21</f>
        <v/>
      </c>
      <c r="L9" s="9">
        <f>J9+K9</f>
        <v/>
      </c>
      <c r="M9" s="8">
        <f>E9*'Paramètres'!$C$11+G9*'Paramètres'!$E$20+I9*'Paramètres'!$E$21</f>
        <v/>
      </c>
      <c r="N9" s="8">
        <f>L9*'Paramètres'!$C$24+(D9+E9+F9+G9+H9+I9)*'Paramètres'!$C$25</f>
        <v/>
      </c>
      <c r="O9" s="8">
        <f>SUMPRODUCT(('Coûts'!$D$5:$D$60="Mensuel")*('Coûts'!$J$5:$J$60="Oui")*('Coûts'!$K$5:$K$60&lt;=EOMONTH(B9,0))*(('Coûts'!$L$5:$L$60="")+('Coûts'!$L$5:$L$60&gt;=B9)&gt;0)*'Coûts'!$H$5:$H$60)+SUMPRODUCT(('Coûts'!$D$5:$D$60="Annuel")*('Coûts'!$J$5:$J$60="Oui")*('Coûts'!$K$5:$K$60&lt;=EOMONTH(B9,0))*(('Coûts'!$L$5:$L$60="")+('Coûts'!$L$5:$L$60&gt;=B9)&gt;0)*'Coûts'!$H$5:$H$60)+'Paramètres'!$C$12</f>
        <v/>
      </c>
      <c r="P9" s="8">
        <f>SUMPRODUCT(('Coûts'!$D$5:$D$60="Ponctuel")*('Coûts'!$J$5:$J$60="Oui")*('Coûts'!$K$5:$K$60&lt;=EOMONTH(B9,0))*((('Coûts'!$K$5:$K$60&gt;=B9)+(A9=1))&gt;0)*'Coûts'!$I$5:$I$60)</f>
        <v/>
      </c>
      <c r="Q9" s="8">
        <f>L9*('Paramètres'!$C$26+'Paramètres'!$C$27)</f>
        <v/>
      </c>
      <c r="R9" s="9">
        <f>L9-M9-N9-O9-P9-Q9</f>
        <v/>
      </c>
      <c r="S9" s="22" t="n">
        <v>0</v>
      </c>
      <c r="T9" s="9">
        <f>T8+R9+S9</f>
        <v/>
      </c>
    </row>
    <row r="10">
      <c r="A10" s="25" t="n">
        <v>6</v>
      </c>
      <c r="B10" s="26">
        <f>EDATE('Paramètres'!$C$28,A10-1)</f>
        <v/>
      </c>
      <c r="C10" s="7">
        <f>IF(A10&lt;=12,"Année 1","Année 2")</f>
        <v/>
      </c>
      <c r="D10" s="27">
        <f>IF(A10&gt;='Paramètres'!$C$8,'Paramètres'!$C$9,0)</f>
        <v/>
      </c>
      <c r="E10" s="27">
        <f>E9*(1-'Paramètres'!$C$10)+D10</f>
        <v/>
      </c>
      <c r="F10" s="27">
        <f>IF(A10&gt;='Paramètres'!$C$13,'Paramètres'!$C$14,0)</f>
        <v/>
      </c>
      <c r="G10" s="27">
        <f>G9*(1-'Paramètres'!$C$10)+F10</f>
        <v/>
      </c>
      <c r="H10" s="27">
        <f>IF(A10&gt;='Paramètres'!$C$13,'Paramètres'!$C$15,0)</f>
        <v/>
      </c>
      <c r="I10" s="27">
        <f>I9*(1-'Paramètres'!$C$10)+H10</f>
        <v/>
      </c>
      <c r="J10" s="8">
        <f>D10*'Paramètres'!$C$19+F10*'Paramètres'!$C$20+H10*'Paramètres'!$C$21</f>
        <v/>
      </c>
      <c r="K10" s="8">
        <f>E10*'Paramètres'!$D$19+G10*'Paramètres'!$D$20+I10*'Paramètres'!$D$21</f>
        <v/>
      </c>
      <c r="L10" s="9">
        <f>J10+K10</f>
        <v/>
      </c>
      <c r="M10" s="8">
        <f>E10*'Paramètres'!$C$11+G10*'Paramètres'!$E$20+I10*'Paramètres'!$E$21</f>
        <v/>
      </c>
      <c r="N10" s="8">
        <f>L10*'Paramètres'!$C$24+(D10+E10+F10+G10+H10+I10)*'Paramètres'!$C$25</f>
        <v/>
      </c>
      <c r="O10" s="8">
        <f>SUMPRODUCT(('Coûts'!$D$5:$D$60="Mensuel")*('Coûts'!$J$5:$J$60="Oui")*('Coûts'!$K$5:$K$60&lt;=EOMONTH(B10,0))*(('Coûts'!$L$5:$L$60="")+('Coûts'!$L$5:$L$60&gt;=B10)&gt;0)*'Coûts'!$H$5:$H$60)+SUMPRODUCT(('Coûts'!$D$5:$D$60="Annuel")*('Coûts'!$J$5:$J$60="Oui")*('Coûts'!$K$5:$K$60&lt;=EOMONTH(B10,0))*(('Coûts'!$L$5:$L$60="")+('Coûts'!$L$5:$L$60&gt;=B10)&gt;0)*'Coûts'!$H$5:$H$60)+'Paramètres'!$C$12</f>
        <v/>
      </c>
      <c r="P10" s="8">
        <f>SUMPRODUCT(('Coûts'!$D$5:$D$60="Ponctuel")*('Coûts'!$J$5:$J$60="Oui")*('Coûts'!$K$5:$K$60&lt;=EOMONTH(B10,0))*((('Coûts'!$K$5:$K$60&gt;=B10)+(A10=1))&gt;0)*'Coûts'!$I$5:$I$60)</f>
        <v/>
      </c>
      <c r="Q10" s="8">
        <f>L10*('Paramètres'!$C$26+'Paramètres'!$C$27)</f>
        <v/>
      </c>
      <c r="R10" s="9">
        <f>L10-M10-N10-O10-P10-Q10</f>
        <v/>
      </c>
      <c r="S10" s="22" t="n">
        <v>0</v>
      </c>
      <c r="T10" s="9">
        <f>T9+R10+S10</f>
        <v/>
      </c>
    </row>
    <row r="11">
      <c r="A11" s="25" t="n">
        <v>7</v>
      </c>
      <c r="B11" s="26">
        <f>EDATE('Paramètres'!$C$28,A11-1)</f>
        <v/>
      </c>
      <c r="C11" s="7">
        <f>IF(A11&lt;=12,"Année 1","Année 2")</f>
        <v/>
      </c>
      <c r="D11" s="27">
        <f>IF(A11&gt;='Paramètres'!$C$8,'Paramètres'!$C$9,0)</f>
        <v/>
      </c>
      <c r="E11" s="27">
        <f>E10*(1-'Paramètres'!$C$10)+D11</f>
        <v/>
      </c>
      <c r="F11" s="27">
        <f>IF(A11&gt;='Paramètres'!$C$13,'Paramètres'!$C$14,0)</f>
        <v/>
      </c>
      <c r="G11" s="27">
        <f>G10*(1-'Paramètres'!$C$10)+F11</f>
        <v/>
      </c>
      <c r="H11" s="27">
        <f>IF(A11&gt;='Paramètres'!$C$13,'Paramètres'!$C$15,0)</f>
        <v/>
      </c>
      <c r="I11" s="27">
        <f>I10*(1-'Paramètres'!$C$10)+H11</f>
        <v/>
      </c>
      <c r="J11" s="8">
        <f>D11*'Paramètres'!$C$19+F11*'Paramètres'!$C$20+H11*'Paramètres'!$C$21</f>
        <v/>
      </c>
      <c r="K11" s="8">
        <f>E11*'Paramètres'!$D$19+G11*'Paramètres'!$D$20+I11*'Paramètres'!$D$21</f>
        <v/>
      </c>
      <c r="L11" s="9">
        <f>J11+K11</f>
        <v/>
      </c>
      <c r="M11" s="8">
        <f>E11*'Paramètres'!$C$11+G11*'Paramètres'!$E$20+I11*'Paramètres'!$E$21</f>
        <v/>
      </c>
      <c r="N11" s="8">
        <f>L11*'Paramètres'!$C$24+(D11+E11+F11+G11+H11+I11)*'Paramètres'!$C$25</f>
        <v/>
      </c>
      <c r="O11" s="8">
        <f>SUMPRODUCT(('Coûts'!$D$5:$D$60="Mensuel")*('Coûts'!$J$5:$J$60="Oui")*('Coûts'!$K$5:$K$60&lt;=EOMONTH(B11,0))*(('Coûts'!$L$5:$L$60="")+('Coûts'!$L$5:$L$60&gt;=B11)&gt;0)*'Coûts'!$H$5:$H$60)+SUMPRODUCT(('Coûts'!$D$5:$D$60="Annuel")*('Coûts'!$J$5:$J$60="Oui")*('Coûts'!$K$5:$K$60&lt;=EOMONTH(B11,0))*(('Coûts'!$L$5:$L$60="")+('Coûts'!$L$5:$L$60&gt;=B11)&gt;0)*'Coûts'!$H$5:$H$60)+'Paramètres'!$C$12</f>
        <v/>
      </c>
      <c r="P11" s="8">
        <f>SUMPRODUCT(('Coûts'!$D$5:$D$60="Ponctuel")*('Coûts'!$J$5:$J$60="Oui")*('Coûts'!$K$5:$K$60&lt;=EOMONTH(B11,0))*((('Coûts'!$K$5:$K$60&gt;=B11)+(A11=1))&gt;0)*'Coûts'!$I$5:$I$60)</f>
        <v/>
      </c>
      <c r="Q11" s="8">
        <f>L11*('Paramètres'!$C$26+'Paramètres'!$C$27)</f>
        <v/>
      </c>
      <c r="R11" s="9">
        <f>L11-M11-N11-O11-P11-Q11</f>
        <v/>
      </c>
      <c r="S11" s="22" t="n">
        <v>0</v>
      </c>
      <c r="T11" s="9">
        <f>T10+R11+S11</f>
        <v/>
      </c>
    </row>
    <row r="12">
      <c r="A12" s="25" t="n">
        <v>8</v>
      </c>
      <c r="B12" s="26">
        <f>EDATE('Paramètres'!$C$28,A12-1)</f>
        <v/>
      </c>
      <c r="C12" s="7">
        <f>IF(A12&lt;=12,"Année 1","Année 2")</f>
        <v/>
      </c>
      <c r="D12" s="27">
        <f>IF(A12&gt;='Paramètres'!$C$8,'Paramètres'!$C$9,0)</f>
        <v/>
      </c>
      <c r="E12" s="27">
        <f>E11*(1-'Paramètres'!$C$10)+D12</f>
        <v/>
      </c>
      <c r="F12" s="27">
        <f>IF(A12&gt;='Paramètres'!$C$13,'Paramètres'!$C$14,0)</f>
        <v/>
      </c>
      <c r="G12" s="27">
        <f>G11*(1-'Paramètres'!$C$10)+F12</f>
        <v/>
      </c>
      <c r="H12" s="27">
        <f>IF(A12&gt;='Paramètres'!$C$13,'Paramètres'!$C$15,0)</f>
        <v/>
      </c>
      <c r="I12" s="27">
        <f>I11*(1-'Paramètres'!$C$10)+H12</f>
        <v/>
      </c>
      <c r="J12" s="8">
        <f>D12*'Paramètres'!$C$19+F12*'Paramètres'!$C$20+H12*'Paramètres'!$C$21</f>
        <v/>
      </c>
      <c r="K12" s="8">
        <f>E12*'Paramètres'!$D$19+G12*'Paramètres'!$D$20+I12*'Paramètres'!$D$21</f>
        <v/>
      </c>
      <c r="L12" s="9">
        <f>J12+K12</f>
        <v/>
      </c>
      <c r="M12" s="8">
        <f>E12*'Paramètres'!$C$11+G12*'Paramètres'!$E$20+I12*'Paramètres'!$E$21</f>
        <v/>
      </c>
      <c r="N12" s="8">
        <f>L12*'Paramètres'!$C$24+(D12+E12+F12+G12+H12+I12)*'Paramètres'!$C$25</f>
        <v/>
      </c>
      <c r="O12" s="8">
        <f>SUMPRODUCT(('Coûts'!$D$5:$D$60="Mensuel")*('Coûts'!$J$5:$J$60="Oui")*('Coûts'!$K$5:$K$60&lt;=EOMONTH(B12,0))*(('Coûts'!$L$5:$L$60="")+('Coûts'!$L$5:$L$60&gt;=B12)&gt;0)*'Coûts'!$H$5:$H$60)+SUMPRODUCT(('Coûts'!$D$5:$D$60="Annuel")*('Coûts'!$J$5:$J$60="Oui")*('Coûts'!$K$5:$K$60&lt;=EOMONTH(B12,0))*(('Coûts'!$L$5:$L$60="")+('Coûts'!$L$5:$L$60&gt;=B12)&gt;0)*'Coûts'!$H$5:$H$60)+'Paramètres'!$C$12</f>
        <v/>
      </c>
      <c r="P12" s="8">
        <f>SUMPRODUCT(('Coûts'!$D$5:$D$60="Ponctuel")*('Coûts'!$J$5:$J$60="Oui")*('Coûts'!$K$5:$K$60&lt;=EOMONTH(B12,0))*((('Coûts'!$K$5:$K$60&gt;=B12)+(A12=1))&gt;0)*'Coûts'!$I$5:$I$60)</f>
        <v/>
      </c>
      <c r="Q12" s="8">
        <f>L12*('Paramètres'!$C$26+'Paramètres'!$C$27)</f>
        <v/>
      </c>
      <c r="R12" s="9">
        <f>L12-M12-N12-O12-P12-Q12</f>
        <v/>
      </c>
      <c r="S12" s="22" t="n">
        <v>0</v>
      </c>
      <c r="T12" s="9">
        <f>T11+R12+S12</f>
        <v/>
      </c>
    </row>
    <row r="13">
      <c r="A13" s="25" t="n">
        <v>9</v>
      </c>
      <c r="B13" s="26">
        <f>EDATE('Paramètres'!$C$28,A13-1)</f>
        <v/>
      </c>
      <c r="C13" s="7">
        <f>IF(A13&lt;=12,"Année 1","Année 2")</f>
        <v/>
      </c>
      <c r="D13" s="27">
        <f>IF(A13&gt;='Paramètres'!$C$8,'Paramètres'!$C$9,0)</f>
        <v/>
      </c>
      <c r="E13" s="27">
        <f>E12*(1-'Paramètres'!$C$10)+D13</f>
        <v/>
      </c>
      <c r="F13" s="27">
        <f>IF(A13&gt;='Paramètres'!$C$13,'Paramètres'!$C$14,0)</f>
        <v/>
      </c>
      <c r="G13" s="27">
        <f>G12*(1-'Paramètres'!$C$10)+F13</f>
        <v/>
      </c>
      <c r="H13" s="27">
        <f>IF(A13&gt;='Paramètres'!$C$13,'Paramètres'!$C$15,0)</f>
        <v/>
      </c>
      <c r="I13" s="27">
        <f>I12*(1-'Paramètres'!$C$10)+H13</f>
        <v/>
      </c>
      <c r="J13" s="8">
        <f>D13*'Paramètres'!$C$19+F13*'Paramètres'!$C$20+H13*'Paramètres'!$C$21</f>
        <v/>
      </c>
      <c r="K13" s="8">
        <f>E13*'Paramètres'!$D$19+G13*'Paramètres'!$D$20+I13*'Paramètres'!$D$21</f>
        <v/>
      </c>
      <c r="L13" s="9">
        <f>J13+K13</f>
        <v/>
      </c>
      <c r="M13" s="8">
        <f>E13*'Paramètres'!$C$11+G13*'Paramètres'!$E$20+I13*'Paramètres'!$E$21</f>
        <v/>
      </c>
      <c r="N13" s="8">
        <f>L13*'Paramètres'!$C$24+(D13+E13+F13+G13+H13+I13)*'Paramètres'!$C$25</f>
        <v/>
      </c>
      <c r="O13" s="8">
        <f>SUMPRODUCT(('Coûts'!$D$5:$D$60="Mensuel")*('Coûts'!$J$5:$J$60="Oui")*('Coûts'!$K$5:$K$60&lt;=EOMONTH(B13,0))*(('Coûts'!$L$5:$L$60="")+('Coûts'!$L$5:$L$60&gt;=B13)&gt;0)*'Coûts'!$H$5:$H$60)+SUMPRODUCT(('Coûts'!$D$5:$D$60="Annuel")*('Coûts'!$J$5:$J$60="Oui")*('Coûts'!$K$5:$K$60&lt;=EOMONTH(B13,0))*(('Coûts'!$L$5:$L$60="")+('Coûts'!$L$5:$L$60&gt;=B13)&gt;0)*'Coûts'!$H$5:$H$60)+'Paramètres'!$C$12</f>
        <v/>
      </c>
      <c r="P13" s="8">
        <f>SUMPRODUCT(('Coûts'!$D$5:$D$60="Ponctuel")*('Coûts'!$J$5:$J$60="Oui")*('Coûts'!$K$5:$K$60&lt;=EOMONTH(B13,0))*((('Coûts'!$K$5:$K$60&gt;=B13)+(A13=1))&gt;0)*'Coûts'!$I$5:$I$60)</f>
        <v/>
      </c>
      <c r="Q13" s="8">
        <f>L13*('Paramètres'!$C$26+'Paramètres'!$C$27)</f>
        <v/>
      </c>
      <c r="R13" s="9">
        <f>L13-M13-N13-O13-P13-Q13</f>
        <v/>
      </c>
      <c r="S13" s="22" t="n">
        <v>0</v>
      </c>
      <c r="T13" s="9">
        <f>T12+R13+S13</f>
        <v/>
      </c>
    </row>
    <row r="14">
      <c r="A14" s="25" t="n">
        <v>10</v>
      </c>
      <c r="B14" s="26">
        <f>EDATE('Paramètres'!$C$28,A14-1)</f>
        <v/>
      </c>
      <c r="C14" s="7">
        <f>IF(A14&lt;=12,"Année 1","Année 2")</f>
        <v/>
      </c>
      <c r="D14" s="27">
        <f>IF(A14&gt;='Paramètres'!$C$8,'Paramètres'!$C$9,0)</f>
        <v/>
      </c>
      <c r="E14" s="27">
        <f>E13*(1-'Paramètres'!$C$10)+D14</f>
        <v/>
      </c>
      <c r="F14" s="27">
        <f>IF(A14&gt;='Paramètres'!$C$13,'Paramètres'!$C$14,0)</f>
        <v/>
      </c>
      <c r="G14" s="27">
        <f>G13*(1-'Paramètres'!$C$10)+F14</f>
        <v/>
      </c>
      <c r="H14" s="27">
        <f>IF(A14&gt;='Paramètres'!$C$13,'Paramètres'!$C$15,0)</f>
        <v/>
      </c>
      <c r="I14" s="27">
        <f>I13*(1-'Paramètres'!$C$10)+H14</f>
        <v/>
      </c>
      <c r="J14" s="8">
        <f>D14*'Paramètres'!$C$19+F14*'Paramètres'!$C$20+H14*'Paramètres'!$C$21</f>
        <v/>
      </c>
      <c r="K14" s="8">
        <f>E14*'Paramètres'!$D$19+G14*'Paramètres'!$D$20+I14*'Paramètres'!$D$21</f>
        <v/>
      </c>
      <c r="L14" s="9">
        <f>J14+K14</f>
        <v/>
      </c>
      <c r="M14" s="8">
        <f>E14*'Paramètres'!$C$11+G14*'Paramètres'!$E$20+I14*'Paramètres'!$E$21</f>
        <v/>
      </c>
      <c r="N14" s="8">
        <f>L14*'Paramètres'!$C$24+(D14+E14+F14+G14+H14+I14)*'Paramètres'!$C$25</f>
        <v/>
      </c>
      <c r="O14" s="8">
        <f>SUMPRODUCT(('Coûts'!$D$5:$D$60="Mensuel")*('Coûts'!$J$5:$J$60="Oui")*('Coûts'!$K$5:$K$60&lt;=EOMONTH(B14,0))*(('Coûts'!$L$5:$L$60="")+('Coûts'!$L$5:$L$60&gt;=B14)&gt;0)*'Coûts'!$H$5:$H$60)+SUMPRODUCT(('Coûts'!$D$5:$D$60="Annuel")*('Coûts'!$J$5:$J$60="Oui")*('Coûts'!$K$5:$K$60&lt;=EOMONTH(B14,0))*(('Coûts'!$L$5:$L$60="")+('Coûts'!$L$5:$L$60&gt;=B14)&gt;0)*'Coûts'!$H$5:$H$60)+'Paramètres'!$C$12</f>
        <v/>
      </c>
      <c r="P14" s="8">
        <f>SUMPRODUCT(('Coûts'!$D$5:$D$60="Ponctuel")*('Coûts'!$J$5:$J$60="Oui")*('Coûts'!$K$5:$K$60&lt;=EOMONTH(B14,0))*((('Coûts'!$K$5:$K$60&gt;=B14)+(A14=1))&gt;0)*'Coûts'!$I$5:$I$60)</f>
        <v/>
      </c>
      <c r="Q14" s="8">
        <f>L14*('Paramètres'!$C$26+'Paramètres'!$C$27)</f>
        <v/>
      </c>
      <c r="R14" s="9">
        <f>L14-M14-N14-O14-P14-Q14</f>
        <v/>
      </c>
      <c r="S14" s="22" t="n">
        <v>0</v>
      </c>
      <c r="T14" s="9">
        <f>T13+R14+S14</f>
        <v/>
      </c>
    </row>
    <row r="15">
      <c r="A15" s="25" t="n">
        <v>11</v>
      </c>
      <c r="B15" s="26">
        <f>EDATE('Paramètres'!$C$28,A15-1)</f>
        <v/>
      </c>
      <c r="C15" s="7">
        <f>IF(A15&lt;=12,"Année 1","Année 2")</f>
        <v/>
      </c>
      <c r="D15" s="27">
        <f>IF(A15&gt;='Paramètres'!$C$8,'Paramètres'!$C$9,0)</f>
        <v/>
      </c>
      <c r="E15" s="27">
        <f>E14*(1-'Paramètres'!$C$10)+D15</f>
        <v/>
      </c>
      <c r="F15" s="27">
        <f>IF(A15&gt;='Paramètres'!$C$13,'Paramètres'!$C$14,0)</f>
        <v/>
      </c>
      <c r="G15" s="27">
        <f>G14*(1-'Paramètres'!$C$10)+F15</f>
        <v/>
      </c>
      <c r="H15" s="27">
        <f>IF(A15&gt;='Paramètres'!$C$13,'Paramètres'!$C$15,0)</f>
        <v/>
      </c>
      <c r="I15" s="27">
        <f>I14*(1-'Paramètres'!$C$10)+H15</f>
        <v/>
      </c>
      <c r="J15" s="8">
        <f>D15*'Paramètres'!$C$19+F15*'Paramètres'!$C$20+H15*'Paramètres'!$C$21</f>
        <v/>
      </c>
      <c r="K15" s="8">
        <f>E15*'Paramètres'!$D$19+G15*'Paramètres'!$D$20+I15*'Paramètres'!$D$21</f>
        <v/>
      </c>
      <c r="L15" s="9">
        <f>J15+K15</f>
        <v/>
      </c>
      <c r="M15" s="8">
        <f>E15*'Paramètres'!$C$11+G15*'Paramètres'!$E$20+I15*'Paramètres'!$E$21</f>
        <v/>
      </c>
      <c r="N15" s="8">
        <f>L15*'Paramètres'!$C$24+(D15+E15+F15+G15+H15+I15)*'Paramètres'!$C$25</f>
        <v/>
      </c>
      <c r="O15" s="8">
        <f>SUMPRODUCT(('Coûts'!$D$5:$D$60="Mensuel")*('Coûts'!$J$5:$J$60="Oui")*('Coûts'!$K$5:$K$60&lt;=EOMONTH(B15,0))*(('Coûts'!$L$5:$L$60="")+('Coûts'!$L$5:$L$60&gt;=B15)&gt;0)*'Coûts'!$H$5:$H$60)+SUMPRODUCT(('Coûts'!$D$5:$D$60="Annuel")*('Coûts'!$J$5:$J$60="Oui")*('Coûts'!$K$5:$K$60&lt;=EOMONTH(B15,0))*(('Coûts'!$L$5:$L$60="")+('Coûts'!$L$5:$L$60&gt;=B15)&gt;0)*'Coûts'!$H$5:$H$60)+'Paramètres'!$C$12</f>
        <v/>
      </c>
      <c r="P15" s="8">
        <f>SUMPRODUCT(('Coûts'!$D$5:$D$60="Ponctuel")*('Coûts'!$J$5:$J$60="Oui")*('Coûts'!$K$5:$K$60&lt;=EOMONTH(B15,0))*((('Coûts'!$K$5:$K$60&gt;=B15)+(A15=1))&gt;0)*'Coûts'!$I$5:$I$60)</f>
        <v/>
      </c>
      <c r="Q15" s="8">
        <f>L15*('Paramètres'!$C$26+'Paramètres'!$C$27)</f>
        <v/>
      </c>
      <c r="R15" s="9">
        <f>L15-M15-N15-O15-P15-Q15</f>
        <v/>
      </c>
      <c r="S15" s="22" t="n">
        <v>0</v>
      </c>
      <c r="T15" s="9">
        <f>T14+R15+S15</f>
        <v/>
      </c>
    </row>
    <row r="16">
      <c r="A16" s="25" t="n">
        <v>12</v>
      </c>
      <c r="B16" s="26">
        <f>EDATE('Paramètres'!$C$28,A16-1)</f>
        <v/>
      </c>
      <c r="C16" s="7">
        <f>IF(A16&lt;=12,"Année 1","Année 2")</f>
        <v/>
      </c>
      <c r="D16" s="27">
        <f>IF(A16&gt;='Paramètres'!$C$8,'Paramètres'!$C$9,0)</f>
        <v/>
      </c>
      <c r="E16" s="27">
        <f>E15*(1-'Paramètres'!$C$10)+D16</f>
        <v/>
      </c>
      <c r="F16" s="27">
        <f>IF(A16&gt;='Paramètres'!$C$13,'Paramètres'!$C$14,0)</f>
        <v/>
      </c>
      <c r="G16" s="27">
        <f>G15*(1-'Paramètres'!$C$10)+F16</f>
        <v/>
      </c>
      <c r="H16" s="27">
        <f>IF(A16&gt;='Paramètres'!$C$13,'Paramètres'!$C$15,0)</f>
        <v/>
      </c>
      <c r="I16" s="27">
        <f>I15*(1-'Paramètres'!$C$10)+H16</f>
        <v/>
      </c>
      <c r="J16" s="8">
        <f>D16*'Paramètres'!$C$19+F16*'Paramètres'!$C$20+H16*'Paramètres'!$C$21</f>
        <v/>
      </c>
      <c r="K16" s="8">
        <f>E16*'Paramètres'!$D$19+G16*'Paramètres'!$D$20+I16*'Paramètres'!$D$21</f>
        <v/>
      </c>
      <c r="L16" s="9">
        <f>J16+K16</f>
        <v/>
      </c>
      <c r="M16" s="8">
        <f>E16*'Paramètres'!$C$11+G16*'Paramètres'!$E$20+I16*'Paramètres'!$E$21</f>
        <v/>
      </c>
      <c r="N16" s="8">
        <f>L16*'Paramètres'!$C$24+(D16+E16+F16+G16+H16+I16)*'Paramètres'!$C$25</f>
        <v/>
      </c>
      <c r="O16" s="8">
        <f>SUMPRODUCT(('Coûts'!$D$5:$D$60="Mensuel")*('Coûts'!$J$5:$J$60="Oui")*('Coûts'!$K$5:$K$60&lt;=EOMONTH(B16,0))*(('Coûts'!$L$5:$L$60="")+('Coûts'!$L$5:$L$60&gt;=B16)&gt;0)*'Coûts'!$H$5:$H$60)+SUMPRODUCT(('Coûts'!$D$5:$D$60="Annuel")*('Coûts'!$J$5:$J$60="Oui")*('Coûts'!$K$5:$K$60&lt;=EOMONTH(B16,0))*(('Coûts'!$L$5:$L$60="")+('Coûts'!$L$5:$L$60&gt;=B16)&gt;0)*'Coûts'!$H$5:$H$60)+'Paramètres'!$C$12</f>
        <v/>
      </c>
      <c r="P16" s="8">
        <f>SUMPRODUCT(('Coûts'!$D$5:$D$60="Ponctuel")*('Coûts'!$J$5:$J$60="Oui")*('Coûts'!$K$5:$K$60&lt;=EOMONTH(B16,0))*((('Coûts'!$K$5:$K$60&gt;=B16)+(A16=1))&gt;0)*'Coûts'!$I$5:$I$60)</f>
        <v/>
      </c>
      <c r="Q16" s="8">
        <f>L16*('Paramètres'!$C$26+'Paramètres'!$C$27)</f>
        <v/>
      </c>
      <c r="R16" s="9">
        <f>L16-M16-N16-O16-P16-Q16</f>
        <v/>
      </c>
      <c r="S16" s="22" t="n">
        <v>0</v>
      </c>
      <c r="T16" s="9">
        <f>T15+R16+S16</f>
        <v/>
      </c>
    </row>
    <row r="17">
      <c r="A17" s="25" t="n">
        <v>13</v>
      </c>
      <c r="B17" s="26">
        <f>EDATE('Paramètres'!$C$28,A17-1)</f>
        <v/>
      </c>
      <c r="C17" s="7">
        <f>IF(A17&lt;=12,"Année 1","Année 2")</f>
        <v/>
      </c>
      <c r="D17" s="27">
        <f>IF(A17&gt;='Paramètres'!$C$8,'Paramètres'!$C$9,0)</f>
        <v/>
      </c>
      <c r="E17" s="27">
        <f>E16*(1-'Paramètres'!$C$10)+D17</f>
        <v/>
      </c>
      <c r="F17" s="27">
        <f>IF(A17&gt;='Paramètres'!$C$13,'Paramètres'!$C$14,0)</f>
        <v/>
      </c>
      <c r="G17" s="27">
        <f>G16*(1-'Paramètres'!$C$10)+F17</f>
        <v/>
      </c>
      <c r="H17" s="27">
        <f>IF(A17&gt;='Paramètres'!$C$13,'Paramètres'!$C$15,0)</f>
        <v/>
      </c>
      <c r="I17" s="27">
        <f>I16*(1-'Paramètres'!$C$10)+H17</f>
        <v/>
      </c>
      <c r="J17" s="8">
        <f>D17*'Paramètres'!$C$19+F17*'Paramètres'!$C$20+H17*'Paramètres'!$C$21</f>
        <v/>
      </c>
      <c r="K17" s="8">
        <f>E17*'Paramètres'!$D$19+G17*'Paramètres'!$D$20+I17*'Paramètres'!$D$21</f>
        <v/>
      </c>
      <c r="L17" s="9">
        <f>J17+K17</f>
        <v/>
      </c>
      <c r="M17" s="8">
        <f>E17*'Paramètres'!$C$11+G17*'Paramètres'!$E$20+I17*'Paramètres'!$E$21</f>
        <v/>
      </c>
      <c r="N17" s="8">
        <f>L17*'Paramètres'!$C$24+(D17+E17+F17+G17+H17+I17)*'Paramètres'!$C$25</f>
        <v/>
      </c>
      <c r="O17" s="8">
        <f>SUMPRODUCT(('Coûts'!$D$5:$D$60="Mensuel")*('Coûts'!$J$5:$J$60="Oui")*('Coûts'!$K$5:$K$60&lt;=EOMONTH(B17,0))*(('Coûts'!$L$5:$L$60="")+('Coûts'!$L$5:$L$60&gt;=B17)&gt;0)*'Coûts'!$H$5:$H$60)+SUMPRODUCT(('Coûts'!$D$5:$D$60="Annuel")*('Coûts'!$J$5:$J$60="Oui")*('Coûts'!$K$5:$K$60&lt;=EOMONTH(B17,0))*(('Coûts'!$L$5:$L$60="")+('Coûts'!$L$5:$L$60&gt;=B17)&gt;0)*'Coûts'!$H$5:$H$60)+'Paramètres'!$C$12</f>
        <v/>
      </c>
      <c r="P17" s="8">
        <f>SUMPRODUCT(('Coûts'!$D$5:$D$60="Ponctuel")*('Coûts'!$J$5:$J$60="Oui")*('Coûts'!$K$5:$K$60&lt;=EOMONTH(B17,0))*((('Coûts'!$K$5:$K$60&gt;=B17)+(A17=1))&gt;0)*'Coûts'!$I$5:$I$60)</f>
        <v/>
      </c>
      <c r="Q17" s="8">
        <f>L17*('Paramètres'!$C$26+'Paramètres'!$C$27)</f>
        <v/>
      </c>
      <c r="R17" s="9">
        <f>L17-M17-N17-O17-P17-Q17</f>
        <v/>
      </c>
      <c r="S17" s="22" t="n">
        <v>0</v>
      </c>
      <c r="T17" s="9">
        <f>T16+R17+S17</f>
        <v/>
      </c>
    </row>
    <row r="18">
      <c r="A18" s="25" t="n">
        <v>14</v>
      </c>
      <c r="B18" s="26">
        <f>EDATE('Paramètres'!$C$28,A18-1)</f>
        <v/>
      </c>
      <c r="C18" s="7">
        <f>IF(A18&lt;=12,"Année 1","Année 2")</f>
        <v/>
      </c>
      <c r="D18" s="27">
        <f>IF(A18&gt;='Paramètres'!$C$8,'Paramètres'!$C$9,0)</f>
        <v/>
      </c>
      <c r="E18" s="27">
        <f>E17*(1-'Paramètres'!$C$10)+D18</f>
        <v/>
      </c>
      <c r="F18" s="27">
        <f>IF(A18&gt;='Paramètres'!$C$13,'Paramètres'!$C$14,0)</f>
        <v/>
      </c>
      <c r="G18" s="27">
        <f>G17*(1-'Paramètres'!$C$10)+F18</f>
        <v/>
      </c>
      <c r="H18" s="27">
        <f>IF(A18&gt;='Paramètres'!$C$13,'Paramètres'!$C$15,0)</f>
        <v/>
      </c>
      <c r="I18" s="27">
        <f>I17*(1-'Paramètres'!$C$10)+H18</f>
        <v/>
      </c>
      <c r="J18" s="8">
        <f>D18*'Paramètres'!$C$19+F18*'Paramètres'!$C$20+H18*'Paramètres'!$C$21</f>
        <v/>
      </c>
      <c r="K18" s="8">
        <f>E18*'Paramètres'!$D$19+G18*'Paramètres'!$D$20+I18*'Paramètres'!$D$21</f>
        <v/>
      </c>
      <c r="L18" s="9">
        <f>J18+K18</f>
        <v/>
      </c>
      <c r="M18" s="8">
        <f>E18*'Paramètres'!$C$11+G18*'Paramètres'!$E$20+I18*'Paramètres'!$E$21</f>
        <v/>
      </c>
      <c r="N18" s="8">
        <f>L18*'Paramètres'!$C$24+(D18+E18+F18+G18+H18+I18)*'Paramètres'!$C$25</f>
        <v/>
      </c>
      <c r="O18" s="8">
        <f>SUMPRODUCT(('Coûts'!$D$5:$D$60="Mensuel")*('Coûts'!$J$5:$J$60="Oui")*('Coûts'!$K$5:$K$60&lt;=EOMONTH(B18,0))*(('Coûts'!$L$5:$L$60="")+('Coûts'!$L$5:$L$60&gt;=B18)&gt;0)*'Coûts'!$H$5:$H$60)+SUMPRODUCT(('Coûts'!$D$5:$D$60="Annuel")*('Coûts'!$J$5:$J$60="Oui")*('Coûts'!$K$5:$K$60&lt;=EOMONTH(B18,0))*(('Coûts'!$L$5:$L$60="")+('Coûts'!$L$5:$L$60&gt;=B18)&gt;0)*'Coûts'!$H$5:$H$60)+'Paramètres'!$C$12</f>
        <v/>
      </c>
      <c r="P18" s="8">
        <f>SUMPRODUCT(('Coûts'!$D$5:$D$60="Ponctuel")*('Coûts'!$J$5:$J$60="Oui")*('Coûts'!$K$5:$K$60&lt;=EOMONTH(B18,0))*((('Coûts'!$K$5:$K$60&gt;=B18)+(A18=1))&gt;0)*'Coûts'!$I$5:$I$60)</f>
        <v/>
      </c>
      <c r="Q18" s="8">
        <f>L18*('Paramètres'!$C$26+'Paramètres'!$C$27)</f>
        <v/>
      </c>
      <c r="R18" s="9">
        <f>L18-M18-N18-O18-P18-Q18</f>
        <v/>
      </c>
      <c r="S18" s="22" t="n">
        <v>0</v>
      </c>
      <c r="T18" s="9">
        <f>T17+R18+S18</f>
        <v/>
      </c>
    </row>
    <row r="19">
      <c r="A19" s="25" t="n">
        <v>15</v>
      </c>
      <c r="B19" s="26">
        <f>EDATE('Paramètres'!$C$28,A19-1)</f>
        <v/>
      </c>
      <c r="C19" s="7">
        <f>IF(A19&lt;=12,"Année 1","Année 2")</f>
        <v/>
      </c>
      <c r="D19" s="27">
        <f>IF(A19&gt;='Paramètres'!$C$8,'Paramètres'!$C$9,0)</f>
        <v/>
      </c>
      <c r="E19" s="27">
        <f>E18*(1-'Paramètres'!$C$10)+D19</f>
        <v/>
      </c>
      <c r="F19" s="27">
        <f>IF(A19&gt;='Paramètres'!$C$13,'Paramètres'!$C$14,0)</f>
        <v/>
      </c>
      <c r="G19" s="27">
        <f>G18*(1-'Paramètres'!$C$10)+F19</f>
        <v/>
      </c>
      <c r="H19" s="27">
        <f>IF(A19&gt;='Paramètres'!$C$13,'Paramètres'!$C$15,0)</f>
        <v/>
      </c>
      <c r="I19" s="27">
        <f>I18*(1-'Paramètres'!$C$10)+H19</f>
        <v/>
      </c>
      <c r="J19" s="8">
        <f>D19*'Paramètres'!$C$19+F19*'Paramètres'!$C$20+H19*'Paramètres'!$C$21</f>
        <v/>
      </c>
      <c r="K19" s="8">
        <f>E19*'Paramètres'!$D$19+G19*'Paramètres'!$D$20+I19*'Paramètres'!$D$21</f>
        <v/>
      </c>
      <c r="L19" s="9">
        <f>J19+K19</f>
        <v/>
      </c>
      <c r="M19" s="8">
        <f>E19*'Paramètres'!$C$11+G19*'Paramètres'!$E$20+I19*'Paramètres'!$E$21</f>
        <v/>
      </c>
      <c r="N19" s="8">
        <f>L19*'Paramètres'!$C$24+(D19+E19+F19+G19+H19+I19)*'Paramètres'!$C$25</f>
        <v/>
      </c>
      <c r="O19" s="8">
        <f>SUMPRODUCT(('Coûts'!$D$5:$D$60="Mensuel")*('Coûts'!$J$5:$J$60="Oui")*('Coûts'!$K$5:$K$60&lt;=EOMONTH(B19,0))*(('Coûts'!$L$5:$L$60="")+('Coûts'!$L$5:$L$60&gt;=B19)&gt;0)*'Coûts'!$H$5:$H$60)+SUMPRODUCT(('Coûts'!$D$5:$D$60="Annuel")*('Coûts'!$J$5:$J$60="Oui")*('Coûts'!$K$5:$K$60&lt;=EOMONTH(B19,0))*(('Coûts'!$L$5:$L$60="")+('Coûts'!$L$5:$L$60&gt;=B19)&gt;0)*'Coûts'!$H$5:$H$60)+'Paramètres'!$C$12</f>
        <v/>
      </c>
      <c r="P19" s="8">
        <f>SUMPRODUCT(('Coûts'!$D$5:$D$60="Ponctuel")*('Coûts'!$J$5:$J$60="Oui")*('Coûts'!$K$5:$K$60&lt;=EOMONTH(B19,0))*((('Coûts'!$K$5:$K$60&gt;=B19)+(A19=1))&gt;0)*'Coûts'!$I$5:$I$60)</f>
        <v/>
      </c>
      <c r="Q19" s="8">
        <f>L19*('Paramètres'!$C$26+'Paramètres'!$C$27)</f>
        <v/>
      </c>
      <c r="R19" s="9">
        <f>L19-M19-N19-O19-P19-Q19</f>
        <v/>
      </c>
      <c r="S19" s="22" t="n">
        <v>0</v>
      </c>
      <c r="T19" s="9">
        <f>T18+R19+S19</f>
        <v/>
      </c>
    </row>
    <row r="20">
      <c r="A20" s="25" t="n">
        <v>16</v>
      </c>
      <c r="B20" s="26">
        <f>EDATE('Paramètres'!$C$28,A20-1)</f>
        <v/>
      </c>
      <c r="C20" s="7">
        <f>IF(A20&lt;=12,"Année 1","Année 2")</f>
        <v/>
      </c>
      <c r="D20" s="27">
        <f>IF(A20&gt;='Paramètres'!$C$8,'Paramètres'!$C$9,0)</f>
        <v/>
      </c>
      <c r="E20" s="27">
        <f>E19*(1-'Paramètres'!$C$10)+D20</f>
        <v/>
      </c>
      <c r="F20" s="27">
        <f>IF(A20&gt;='Paramètres'!$C$13,'Paramètres'!$C$14,0)</f>
        <v/>
      </c>
      <c r="G20" s="27">
        <f>G19*(1-'Paramètres'!$C$10)+F20</f>
        <v/>
      </c>
      <c r="H20" s="27">
        <f>IF(A20&gt;='Paramètres'!$C$13,'Paramètres'!$C$15,0)</f>
        <v/>
      </c>
      <c r="I20" s="27">
        <f>I19*(1-'Paramètres'!$C$10)+H20</f>
        <v/>
      </c>
      <c r="J20" s="8">
        <f>D20*'Paramètres'!$C$19+F20*'Paramètres'!$C$20+H20*'Paramètres'!$C$21</f>
        <v/>
      </c>
      <c r="K20" s="8">
        <f>E20*'Paramètres'!$D$19+G20*'Paramètres'!$D$20+I20*'Paramètres'!$D$21</f>
        <v/>
      </c>
      <c r="L20" s="9">
        <f>J20+K20</f>
        <v/>
      </c>
      <c r="M20" s="8">
        <f>E20*'Paramètres'!$C$11+G20*'Paramètres'!$E$20+I20*'Paramètres'!$E$21</f>
        <v/>
      </c>
      <c r="N20" s="8">
        <f>L20*'Paramètres'!$C$24+(D20+E20+F20+G20+H20+I20)*'Paramètres'!$C$25</f>
        <v/>
      </c>
      <c r="O20" s="8">
        <f>SUMPRODUCT(('Coûts'!$D$5:$D$60="Mensuel")*('Coûts'!$J$5:$J$60="Oui")*('Coûts'!$K$5:$K$60&lt;=EOMONTH(B20,0))*(('Coûts'!$L$5:$L$60="")+('Coûts'!$L$5:$L$60&gt;=B20)&gt;0)*'Coûts'!$H$5:$H$60)+SUMPRODUCT(('Coûts'!$D$5:$D$60="Annuel")*('Coûts'!$J$5:$J$60="Oui")*('Coûts'!$K$5:$K$60&lt;=EOMONTH(B20,0))*(('Coûts'!$L$5:$L$60="")+('Coûts'!$L$5:$L$60&gt;=B20)&gt;0)*'Coûts'!$H$5:$H$60)+'Paramètres'!$C$12</f>
        <v/>
      </c>
      <c r="P20" s="8">
        <f>SUMPRODUCT(('Coûts'!$D$5:$D$60="Ponctuel")*('Coûts'!$J$5:$J$60="Oui")*('Coûts'!$K$5:$K$60&lt;=EOMONTH(B20,0))*((('Coûts'!$K$5:$K$60&gt;=B20)+(A20=1))&gt;0)*'Coûts'!$I$5:$I$60)</f>
        <v/>
      </c>
      <c r="Q20" s="8">
        <f>L20*('Paramètres'!$C$26+'Paramètres'!$C$27)</f>
        <v/>
      </c>
      <c r="R20" s="9">
        <f>L20-M20-N20-O20-P20-Q20</f>
        <v/>
      </c>
      <c r="S20" s="22" t="n">
        <v>0</v>
      </c>
      <c r="T20" s="9">
        <f>T19+R20+S20</f>
        <v/>
      </c>
    </row>
    <row r="21">
      <c r="A21" s="25" t="n">
        <v>17</v>
      </c>
      <c r="B21" s="26">
        <f>EDATE('Paramètres'!$C$28,A21-1)</f>
        <v/>
      </c>
      <c r="C21" s="7">
        <f>IF(A21&lt;=12,"Année 1","Année 2")</f>
        <v/>
      </c>
      <c r="D21" s="27">
        <f>IF(A21&gt;='Paramètres'!$C$8,'Paramètres'!$C$9,0)</f>
        <v/>
      </c>
      <c r="E21" s="27">
        <f>E20*(1-'Paramètres'!$C$10)+D21</f>
        <v/>
      </c>
      <c r="F21" s="27">
        <f>IF(A21&gt;='Paramètres'!$C$13,'Paramètres'!$C$14,0)</f>
        <v/>
      </c>
      <c r="G21" s="27">
        <f>G20*(1-'Paramètres'!$C$10)+F21</f>
        <v/>
      </c>
      <c r="H21" s="27">
        <f>IF(A21&gt;='Paramètres'!$C$13,'Paramètres'!$C$15,0)</f>
        <v/>
      </c>
      <c r="I21" s="27">
        <f>I20*(1-'Paramètres'!$C$10)+H21</f>
        <v/>
      </c>
      <c r="J21" s="8">
        <f>D21*'Paramètres'!$C$19+F21*'Paramètres'!$C$20+H21*'Paramètres'!$C$21</f>
        <v/>
      </c>
      <c r="K21" s="8">
        <f>E21*'Paramètres'!$D$19+G21*'Paramètres'!$D$20+I21*'Paramètres'!$D$21</f>
        <v/>
      </c>
      <c r="L21" s="9">
        <f>J21+K21</f>
        <v/>
      </c>
      <c r="M21" s="8">
        <f>E21*'Paramètres'!$C$11+G21*'Paramètres'!$E$20+I21*'Paramètres'!$E$21</f>
        <v/>
      </c>
      <c r="N21" s="8">
        <f>L21*'Paramètres'!$C$24+(D21+E21+F21+G21+H21+I21)*'Paramètres'!$C$25</f>
        <v/>
      </c>
      <c r="O21" s="8">
        <f>SUMPRODUCT(('Coûts'!$D$5:$D$60="Mensuel")*('Coûts'!$J$5:$J$60="Oui")*('Coûts'!$K$5:$K$60&lt;=EOMONTH(B21,0))*(('Coûts'!$L$5:$L$60="")+('Coûts'!$L$5:$L$60&gt;=B21)&gt;0)*'Coûts'!$H$5:$H$60)+SUMPRODUCT(('Coûts'!$D$5:$D$60="Annuel")*('Coûts'!$J$5:$J$60="Oui")*('Coûts'!$K$5:$K$60&lt;=EOMONTH(B21,0))*(('Coûts'!$L$5:$L$60="")+('Coûts'!$L$5:$L$60&gt;=B21)&gt;0)*'Coûts'!$H$5:$H$60)+'Paramètres'!$C$12</f>
        <v/>
      </c>
      <c r="P21" s="8">
        <f>SUMPRODUCT(('Coûts'!$D$5:$D$60="Ponctuel")*('Coûts'!$J$5:$J$60="Oui")*('Coûts'!$K$5:$K$60&lt;=EOMONTH(B21,0))*((('Coûts'!$K$5:$K$60&gt;=B21)+(A21=1))&gt;0)*'Coûts'!$I$5:$I$60)</f>
        <v/>
      </c>
      <c r="Q21" s="8">
        <f>L21*('Paramètres'!$C$26+'Paramètres'!$C$27)</f>
        <v/>
      </c>
      <c r="R21" s="9">
        <f>L21-M21-N21-O21-P21-Q21</f>
        <v/>
      </c>
      <c r="S21" s="22" t="n">
        <v>0</v>
      </c>
      <c r="T21" s="9">
        <f>T20+R21+S21</f>
        <v/>
      </c>
    </row>
    <row r="22">
      <c r="A22" s="25" t="n">
        <v>18</v>
      </c>
      <c r="B22" s="26">
        <f>EDATE('Paramètres'!$C$28,A22-1)</f>
        <v/>
      </c>
      <c r="C22" s="7">
        <f>IF(A22&lt;=12,"Année 1","Année 2")</f>
        <v/>
      </c>
      <c r="D22" s="27">
        <f>IF(A22&gt;='Paramètres'!$C$8,'Paramètres'!$C$9,0)</f>
        <v/>
      </c>
      <c r="E22" s="27">
        <f>E21*(1-'Paramètres'!$C$10)+D22</f>
        <v/>
      </c>
      <c r="F22" s="27">
        <f>IF(A22&gt;='Paramètres'!$C$13,'Paramètres'!$C$14,0)</f>
        <v/>
      </c>
      <c r="G22" s="27">
        <f>G21*(1-'Paramètres'!$C$10)+F22</f>
        <v/>
      </c>
      <c r="H22" s="27">
        <f>IF(A22&gt;='Paramètres'!$C$13,'Paramètres'!$C$15,0)</f>
        <v/>
      </c>
      <c r="I22" s="27">
        <f>I21*(1-'Paramètres'!$C$10)+H22</f>
        <v/>
      </c>
      <c r="J22" s="8">
        <f>D22*'Paramètres'!$C$19+F22*'Paramètres'!$C$20+H22*'Paramètres'!$C$21</f>
        <v/>
      </c>
      <c r="K22" s="8">
        <f>E22*'Paramètres'!$D$19+G22*'Paramètres'!$D$20+I22*'Paramètres'!$D$21</f>
        <v/>
      </c>
      <c r="L22" s="9">
        <f>J22+K22</f>
        <v/>
      </c>
      <c r="M22" s="8">
        <f>E22*'Paramètres'!$C$11+G22*'Paramètres'!$E$20+I22*'Paramètres'!$E$21</f>
        <v/>
      </c>
      <c r="N22" s="8">
        <f>L22*'Paramètres'!$C$24+(D22+E22+F22+G22+H22+I22)*'Paramètres'!$C$25</f>
        <v/>
      </c>
      <c r="O22" s="8">
        <f>SUMPRODUCT(('Coûts'!$D$5:$D$60="Mensuel")*('Coûts'!$J$5:$J$60="Oui")*('Coûts'!$K$5:$K$60&lt;=EOMONTH(B22,0))*(('Coûts'!$L$5:$L$60="")+('Coûts'!$L$5:$L$60&gt;=B22)&gt;0)*'Coûts'!$H$5:$H$60)+SUMPRODUCT(('Coûts'!$D$5:$D$60="Annuel")*('Coûts'!$J$5:$J$60="Oui")*('Coûts'!$K$5:$K$60&lt;=EOMONTH(B22,0))*(('Coûts'!$L$5:$L$60="")+('Coûts'!$L$5:$L$60&gt;=B22)&gt;0)*'Coûts'!$H$5:$H$60)+'Paramètres'!$C$12</f>
        <v/>
      </c>
      <c r="P22" s="8">
        <f>SUMPRODUCT(('Coûts'!$D$5:$D$60="Ponctuel")*('Coûts'!$J$5:$J$60="Oui")*('Coûts'!$K$5:$K$60&lt;=EOMONTH(B22,0))*((('Coûts'!$K$5:$K$60&gt;=B22)+(A22=1))&gt;0)*'Coûts'!$I$5:$I$60)</f>
        <v/>
      </c>
      <c r="Q22" s="8">
        <f>L22*('Paramètres'!$C$26+'Paramètres'!$C$27)</f>
        <v/>
      </c>
      <c r="R22" s="9">
        <f>L22-M22-N22-O22-P22-Q22</f>
        <v/>
      </c>
      <c r="S22" s="22" t="n">
        <v>0</v>
      </c>
      <c r="T22" s="9">
        <f>T21+R22+S22</f>
        <v/>
      </c>
    </row>
    <row r="23">
      <c r="A23" s="25" t="n">
        <v>19</v>
      </c>
      <c r="B23" s="26">
        <f>EDATE('Paramètres'!$C$28,A23-1)</f>
        <v/>
      </c>
      <c r="C23" s="7">
        <f>IF(A23&lt;=12,"Année 1","Année 2")</f>
        <v/>
      </c>
      <c r="D23" s="27">
        <f>IF(A23&gt;='Paramètres'!$C$8,'Paramètres'!$C$9,0)</f>
        <v/>
      </c>
      <c r="E23" s="27">
        <f>E22*(1-'Paramètres'!$C$10)+D23</f>
        <v/>
      </c>
      <c r="F23" s="27">
        <f>IF(A23&gt;='Paramètres'!$C$13,'Paramètres'!$C$14,0)</f>
        <v/>
      </c>
      <c r="G23" s="27">
        <f>G22*(1-'Paramètres'!$C$10)+F23</f>
        <v/>
      </c>
      <c r="H23" s="27">
        <f>IF(A23&gt;='Paramètres'!$C$13,'Paramètres'!$C$15,0)</f>
        <v/>
      </c>
      <c r="I23" s="27">
        <f>I22*(1-'Paramètres'!$C$10)+H23</f>
        <v/>
      </c>
      <c r="J23" s="8">
        <f>D23*'Paramètres'!$C$19+F23*'Paramètres'!$C$20+H23*'Paramètres'!$C$21</f>
        <v/>
      </c>
      <c r="K23" s="8">
        <f>E23*'Paramètres'!$D$19+G23*'Paramètres'!$D$20+I23*'Paramètres'!$D$21</f>
        <v/>
      </c>
      <c r="L23" s="9">
        <f>J23+K23</f>
        <v/>
      </c>
      <c r="M23" s="8">
        <f>E23*'Paramètres'!$C$11+G23*'Paramètres'!$E$20+I23*'Paramètres'!$E$21</f>
        <v/>
      </c>
      <c r="N23" s="8">
        <f>L23*'Paramètres'!$C$24+(D23+E23+F23+G23+H23+I23)*'Paramètres'!$C$25</f>
        <v/>
      </c>
      <c r="O23" s="8">
        <f>SUMPRODUCT(('Coûts'!$D$5:$D$60="Mensuel")*('Coûts'!$J$5:$J$60="Oui")*('Coûts'!$K$5:$K$60&lt;=EOMONTH(B23,0))*(('Coûts'!$L$5:$L$60="")+('Coûts'!$L$5:$L$60&gt;=B23)&gt;0)*'Coûts'!$H$5:$H$60)+SUMPRODUCT(('Coûts'!$D$5:$D$60="Annuel")*('Coûts'!$J$5:$J$60="Oui")*('Coûts'!$K$5:$K$60&lt;=EOMONTH(B23,0))*(('Coûts'!$L$5:$L$60="")+('Coûts'!$L$5:$L$60&gt;=B23)&gt;0)*'Coûts'!$H$5:$H$60)+'Paramètres'!$C$12</f>
        <v/>
      </c>
      <c r="P23" s="8">
        <f>SUMPRODUCT(('Coûts'!$D$5:$D$60="Ponctuel")*('Coûts'!$J$5:$J$60="Oui")*('Coûts'!$K$5:$K$60&lt;=EOMONTH(B23,0))*((('Coûts'!$K$5:$K$60&gt;=B23)+(A23=1))&gt;0)*'Coûts'!$I$5:$I$60)</f>
        <v/>
      </c>
      <c r="Q23" s="8">
        <f>L23*('Paramètres'!$C$26+'Paramètres'!$C$27)</f>
        <v/>
      </c>
      <c r="R23" s="9">
        <f>L23-M23-N23-O23-P23-Q23</f>
        <v/>
      </c>
      <c r="S23" s="22" t="n">
        <v>0</v>
      </c>
      <c r="T23" s="9">
        <f>T22+R23+S23</f>
        <v/>
      </c>
    </row>
    <row r="24">
      <c r="A24" s="25" t="n">
        <v>20</v>
      </c>
      <c r="B24" s="26">
        <f>EDATE('Paramètres'!$C$28,A24-1)</f>
        <v/>
      </c>
      <c r="C24" s="7">
        <f>IF(A24&lt;=12,"Année 1","Année 2")</f>
        <v/>
      </c>
      <c r="D24" s="27">
        <f>IF(A24&gt;='Paramètres'!$C$8,'Paramètres'!$C$9,0)</f>
        <v/>
      </c>
      <c r="E24" s="27">
        <f>E23*(1-'Paramètres'!$C$10)+D24</f>
        <v/>
      </c>
      <c r="F24" s="27">
        <f>IF(A24&gt;='Paramètres'!$C$13,'Paramètres'!$C$14,0)</f>
        <v/>
      </c>
      <c r="G24" s="27">
        <f>G23*(1-'Paramètres'!$C$10)+F24</f>
        <v/>
      </c>
      <c r="H24" s="27">
        <f>IF(A24&gt;='Paramètres'!$C$13,'Paramètres'!$C$15,0)</f>
        <v/>
      </c>
      <c r="I24" s="27">
        <f>I23*(1-'Paramètres'!$C$10)+H24</f>
        <v/>
      </c>
      <c r="J24" s="8">
        <f>D24*'Paramètres'!$C$19+F24*'Paramètres'!$C$20+H24*'Paramètres'!$C$21</f>
        <v/>
      </c>
      <c r="K24" s="8">
        <f>E24*'Paramètres'!$D$19+G24*'Paramètres'!$D$20+I24*'Paramètres'!$D$21</f>
        <v/>
      </c>
      <c r="L24" s="9">
        <f>J24+K24</f>
        <v/>
      </c>
      <c r="M24" s="8">
        <f>E24*'Paramètres'!$C$11+G24*'Paramètres'!$E$20+I24*'Paramètres'!$E$21</f>
        <v/>
      </c>
      <c r="N24" s="8">
        <f>L24*'Paramètres'!$C$24+(D24+E24+F24+G24+H24+I24)*'Paramètres'!$C$25</f>
        <v/>
      </c>
      <c r="O24" s="8">
        <f>SUMPRODUCT(('Coûts'!$D$5:$D$60="Mensuel")*('Coûts'!$J$5:$J$60="Oui")*('Coûts'!$K$5:$K$60&lt;=EOMONTH(B24,0))*(('Coûts'!$L$5:$L$60="")+('Coûts'!$L$5:$L$60&gt;=B24)&gt;0)*'Coûts'!$H$5:$H$60)+SUMPRODUCT(('Coûts'!$D$5:$D$60="Annuel")*('Coûts'!$J$5:$J$60="Oui")*('Coûts'!$K$5:$K$60&lt;=EOMONTH(B24,0))*(('Coûts'!$L$5:$L$60="")+('Coûts'!$L$5:$L$60&gt;=B24)&gt;0)*'Coûts'!$H$5:$H$60)+'Paramètres'!$C$12</f>
        <v/>
      </c>
      <c r="P24" s="8">
        <f>SUMPRODUCT(('Coûts'!$D$5:$D$60="Ponctuel")*('Coûts'!$J$5:$J$60="Oui")*('Coûts'!$K$5:$K$60&lt;=EOMONTH(B24,0))*((('Coûts'!$K$5:$K$60&gt;=B24)+(A24=1))&gt;0)*'Coûts'!$I$5:$I$60)</f>
        <v/>
      </c>
      <c r="Q24" s="8">
        <f>L24*('Paramètres'!$C$26+'Paramètres'!$C$27)</f>
        <v/>
      </c>
      <c r="R24" s="9">
        <f>L24-M24-N24-O24-P24-Q24</f>
        <v/>
      </c>
      <c r="S24" s="22" t="n">
        <v>0</v>
      </c>
      <c r="T24" s="9">
        <f>T23+R24+S24</f>
        <v/>
      </c>
    </row>
    <row r="25">
      <c r="A25" s="25" t="n">
        <v>21</v>
      </c>
      <c r="B25" s="26">
        <f>EDATE('Paramètres'!$C$28,A25-1)</f>
        <v/>
      </c>
      <c r="C25" s="7">
        <f>IF(A25&lt;=12,"Année 1","Année 2")</f>
        <v/>
      </c>
      <c r="D25" s="27">
        <f>IF(A25&gt;='Paramètres'!$C$8,'Paramètres'!$C$9,0)</f>
        <v/>
      </c>
      <c r="E25" s="27">
        <f>E24*(1-'Paramètres'!$C$10)+D25</f>
        <v/>
      </c>
      <c r="F25" s="27">
        <f>IF(A25&gt;='Paramètres'!$C$13,'Paramètres'!$C$14,0)</f>
        <v/>
      </c>
      <c r="G25" s="27">
        <f>G24*(1-'Paramètres'!$C$10)+F25</f>
        <v/>
      </c>
      <c r="H25" s="27">
        <f>IF(A25&gt;='Paramètres'!$C$13,'Paramètres'!$C$15,0)</f>
        <v/>
      </c>
      <c r="I25" s="27">
        <f>I24*(1-'Paramètres'!$C$10)+H25</f>
        <v/>
      </c>
      <c r="J25" s="8">
        <f>D25*'Paramètres'!$C$19+F25*'Paramètres'!$C$20+H25*'Paramètres'!$C$21</f>
        <v/>
      </c>
      <c r="K25" s="8">
        <f>E25*'Paramètres'!$D$19+G25*'Paramètres'!$D$20+I25*'Paramètres'!$D$21</f>
        <v/>
      </c>
      <c r="L25" s="9">
        <f>J25+K25</f>
        <v/>
      </c>
      <c r="M25" s="8">
        <f>E25*'Paramètres'!$C$11+G25*'Paramètres'!$E$20+I25*'Paramètres'!$E$21</f>
        <v/>
      </c>
      <c r="N25" s="8">
        <f>L25*'Paramètres'!$C$24+(D25+E25+F25+G25+H25+I25)*'Paramètres'!$C$25</f>
        <v/>
      </c>
      <c r="O25" s="8">
        <f>SUMPRODUCT(('Coûts'!$D$5:$D$60="Mensuel")*('Coûts'!$J$5:$J$60="Oui")*('Coûts'!$K$5:$K$60&lt;=EOMONTH(B25,0))*(('Coûts'!$L$5:$L$60="")+('Coûts'!$L$5:$L$60&gt;=B25)&gt;0)*'Coûts'!$H$5:$H$60)+SUMPRODUCT(('Coûts'!$D$5:$D$60="Annuel")*('Coûts'!$J$5:$J$60="Oui")*('Coûts'!$K$5:$K$60&lt;=EOMONTH(B25,0))*(('Coûts'!$L$5:$L$60="")+('Coûts'!$L$5:$L$60&gt;=B25)&gt;0)*'Coûts'!$H$5:$H$60)+'Paramètres'!$C$12</f>
        <v/>
      </c>
      <c r="P25" s="8">
        <f>SUMPRODUCT(('Coûts'!$D$5:$D$60="Ponctuel")*('Coûts'!$J$5:$J$60="Oui")*('Coûts'!$K$5:$K$60&lt;=EOMONTH(B25,0))*((('Coûts'!$K$5:$K$60&gt;=B25)+(A25=1))&gt;0)*'Coûts'!$I$5:$I$60)</f>
        <v/>
      </c>
      <c r="Q25" s="8">
        <f>L25*('Paramètres'!$C$26+'Paramètres'!$C$27)</f>
        <v/>
      </c>
      <c r="R25" s="9">
        <f>L25-M25-N25-O25-P25-Q25</f>
        <v/>
      </c>
      <c r="S25" s="22" t="n">
        <v>0</v>
      </c>
      <c r="T25" s="9">
        <f>T24+R25+S25</f>
        <v/>
      </c>
    </row>
    <row r="26">
      <c r="A26" s="25" t="n">
        <v>22</v>
      </c>
      <c r="B26" s="26">
        <f>EDATE('Paramètres'!$C$28,A26-1)</f>
        <v/>
      </c>
      <c r="C26" s="7">
        <f>IF(A26&lt;=12,"Année 1","Année 2")</f>
        <v/>
      </c>
      <c r="D26" s="27">
        <f>IF(A26&gt;='Paramètres'!$C$8,'Paramètres'!$C$9,0)</f>
        <v/>
      </c>
      <c r="E26" s="27">
        <f>E25*(1-'Paramètres'!$C$10)+D26</f>
        <v/>
      </c>
      <c r="F26" s="27">
        <f>IF(A26&gt;='Paramètres'!$C$13,'Paramètres'!$C$14,0)</f>
        <v/>
      </c>
      <c r="G26" s="27">
        <f>G25*(1-'Paramètres'!$C$10)+F26</f>
        <v/>
      </c>
      <c r="H26" s="27">
        <f>IF(A26&gt;='Paramètres'!$C$13,'Paramètres'!$C$15,0)</f>
        <v/>
      </c>
      <c r="I26" s="27">
        <f>I25*(1-'Paramètres'!$C$10)+H26</f>
        <v/>
      </c>
      <c r="J26" s="8">
        <f>D26*'Paramètres'!$C$19+F26*'Paramètres'!$C$20+H26*'Paramètres'!$C$21</f>
        <v/>
      </c>
      <c r="K26" s="8">
        <f>E26*'Paramètres'!$D$19+G26*'Paramètres'!$D$20+I26*'Paramètres'!$D$21</f>
        <v/>
      </c>
      <c r="L26" s="9">
        <f>J26+K26</f>
        <v/>
      </c>
      <c r="M26" s="8">
        <f>E26*'Paramètres'!$C$11+G26*'Paramètres'!$E$20+I26*'Paramètres'!$E$21</f>
        <v/>
      </c>
      <c r="N26" s="8">
        <f>L26*'Paramètres'!$C$24+(D26+E26+F26+G26+H26+I26)*'Paramètres'!$C$25</f>
        <v/>
      </c>
      <c r="O26" s="8">
        <f>SUMPRODUCT(('Coûts'!$D$5:$D$60="Mensuel")*('Coûts'!$J$5:$J$60="Oui")*('Coûts'!$K$5:$K$60&lt;=EOMONTH(B26,0))*(('Coûts'!$L$5:$L$60="")+('Coûts'!$L$5:$L$60&gt;=B26)&gt;0)*'Coûts'!$H$5:$H$60)+SUMPRODUCT(('Coûts'!$D$5:$D$60="Annuel")*('Coûts'!$J$5:$J$60="Oui")*('Coûts'!$K$5:$K$60&lt;=EOMONTH(B26,0))*(('Coûts'!$L$5:$L$60="")+('Coûts'!$L$5:$L$60&gt;=B26)&gt;0)*'Coûts'!$H$5:$H$60)+'Paramètres'!$C$12</f>
        <v/>
      </c>
      <c r="P26" s="8">
        <f>SUMPRODUCT(('Coûts'!$D$5:$D$60="Ponctuel")*('Coûts'!$J$5:$J$60="Oui")*('Coûts'!$K$5:$K$60&lt;=EOMONTH(B26,0))*((('Coûts'!$K$5:$K$60&gt;=B26)+(A26=1))&gt;0)*'Coûts'!$I$5:$I$60)</f>
        <v/>
      </c>
      <c r="Q26" s="8">
        <f>L26*('Paramètres'!$C$26+'Paramètres'!$C$27)</f>
        <v/>
      </c>
      <c r="R26" s="9">
        <f>L26-M26-N26-O26-P26-Q26</f>
        <v/>
      </c>
      <c r="S26" s="22" t="n">
        <v>0</v>
      </c>
      <c r="T26" s="9">
        <f>T25+R26+S26</f>
        <v/>
      </c>
    </row>
    <row r="27">
      <c r="A27" s="25" t="n">
        <v>23</v>
      </c>
      <c r="B27" s="26">
        <f>EDATE('Paramètres'!$C$28,A27-1)</f>
        <v/>
      </c>
      <c r="C27" s="7">
        <f>IF(A27&lt;=12,"Année 1","Année 2")</f>
        <v/>
      </c>
      <c r="D27" s="27">
        <f>IF(A27&gt;='Paramètres'!$C$8,'Paramètres'!$C$9,0)</f>
        <v/>
      </c>
      <c r="E27" s="27">
        <f>E26*(1-'Paramètres'!$C$10)+D27</f>
        <v/>
      </c>
      <c r="F27" s="27">
        <f>IF(A27&gt;='Paramètres'!$C$13,'Paramètres'!$C$14,0)</f>
        <v/>
      </c>
      <c r="G27" s="27">
        <f>G26*(1-'Paramètres'!$C$10)+F27</f>
        <v/>
      </c>
      <c r="H27" s="27">
        <f>IF(A27&gt;='Paramètres'!$C$13,'Paramètres'!$C$15,0)</f>
        <v/>
      </c>
      <c r="I27" s="27">
        <f>I26*(1-'Paramètres'!$C$10)+H27</f>
        <v/>
      </c>
      <c r="J27" s="8">
        <f>D27*'Paramètres'!$C$19+F27*'Paramètres'!$C$20+H27*'Paramètres'!$C$21</f>
        <v/>
      </c>
      <c r="K27" s="8">
        <f>E27*'Paramètres'!$D$19+G27*'Paramètres'!$D$20+I27*'Paramètres'!$D$21</f>
        <v/>
      </c>
      <c r="L27" s="9">
        <f>J27+K27</f>
        <v/>
      </c>
      <c r="M27" s="8">
        <f>E27*'Paramètres'!$C$11+G27*'Paramètres'!$E$20+I27*'Paramètres'!$E$21</f>
        <v/>
      </c>
      <c r="N27" s="8">
        <f>L27*'Paramètres'!$C$24+(D27+E27+F27+G27+H27+I27)*'Paramètres'!$C$25</f>
        <v/>
      </c>
      <c r="O27" s="8">
        <f>SUMPRODUCT(('Coûts'!$D$5:$D$60="Mensuel")*('Coûts'!$J$5:$J$60="Oui")*('Coûts'!$K$5:$K$60&lt;=EOMONTH(B27,0))*(('Coûts'!$L$5:$L$60="")+('Coûts'!$L$5:$L$60&gt;=B27)&gt;0)*'Coûts'!$H$5:$H$60)+SUMPRODUCT(('Coûts'!$D$5:$D$60="Annuel")*('Coûts'!$J$5:$J$60="Oui")*('Coûts'!$K$5:$K$60&lt;=EOMONTH(B27,0))*(('Coûts'!$L$5:$L$60="")+('Coûts'!$L$5:$L$60&gt;=B27)&gt;0)*'Coûts'!$H$5:$H$60)+'Paramètres'!$C$12</f>
        <v/>
      </c>
      <c r="P27" s="8">
        <f>SUMPRODUCT(('Coûts'!$D$5:$D$60="Ponctuel")*('Coûts'!$J$5:$J$60="Oui")*('Coûts'!$K$5:$K$60&lt;=EOMONTH(B27,0))*((('Coûts'!$K$5:$K$60&gt;=B27)+(A27=1))&gt;0)*'Coûts'!$I$5:$I$60)</f>
        <v/>
      </c>
      <c r="Q27" s="8">
        <f>L27*('Paramètres'!$C$26+'Paramètres'!$C$27)</f>
        <v/>
      </c>
      <c r="R27" s="9">
        <f>L27-M27-N27-O27-P27-Q27</f>
        <v/>
      </c>
      <c r="S27" s="22" t="n">
        <v>0</v>
      </c>
      <c r="T27" s="9">
        <f>T26+R27+S27</f>
        <v/>
      </c>
    </row>
    <row r="28">
      <c r="A28" s="25" t="n">
        <v>24</v>
      </c>
      <c r="B28" s="26">
        <f>EDATE('Paramètres'!$C$28,A28-1)</f>
        <v/>
      </c>
      <c r="C28" s="7">
        <f>IF(A28&lt;=12,"Année 1","Année 2")</f>
        <v/>
      </c>
      <c r="D28" s="27">
        <f>IF(A28&gt;='Paramètres'!$C$8,'Paramètres'!$C$9,0)</f>
        <v/>
      </c>
      <c r="E28" s="27">
        <f>E27*(1-'Paramètres'!$C$10)+D28</f>
        <v/>
      </c>
      <c r="F28" s="27">
        <f>IF(A28&gt;='Paramètres'!$C$13,'Paramètres'!$C$14,0)</f>
        <v/>
      </c>
      <c r="G28" s="27">
        <f>G27*(1-'Paramètres'!$C$10)+F28</f>
        <v/>
      </c>
      <c r="H28" s="27">
        <f>IF(A28&gt;='Paramètres'!$C$13,'Paramètres'!$C$15,0)</f>
        <v/>
      </c>
      <c r="I28" s="27">
        <f>I27*(1-'Paramètres'!$C$10)+H28</f>
        <v/>
      </c>
      <c r="J28" s="8">
        <f>D28*'Paramètres'!$C$19+F28*'Paramètres'!$C$20+H28*'Paramètres'!$C$21</f>
        <v/>
      </c>
      <c r="K28" s="8">
        <f>E28*'Paramètres'!$D$19+G28*'Paramètres'!$D$20+I28*'Paramètres'!$D$21</f>
        <v/>
      </c>
      <c r="L28" s="9">
        <f>J28+K28</f>
        <v/>
      </c>
      <c r="M28" s="8">
        <f>E28*'Paramètres'!$C$11+G28*'Paramètres'!$E$20+I28*'Paramètres'!$E$21</f>
        <v/>
      </c>
      <c r="N28" s="8">
        <f>L28*'Paramètres'!$C$24+(D28+E28+F28+G28+H28+I28)*'Paramètres'!$C$25</f>
        <v/>
      </c>
      <c r="O28" s="8">
        <f>SUMPRODUCT(('Coûts'!$D$5:$D$60="Mensuel")*('Coûts'!$J$5:$J$60="Oui")*('Coûts'!$K$5:$K$60&lt;=EOMONTH(B28,0))*(('Coûts'!$L$5:$L$60="")+('Coûts'!$L$5:$L$60&gt;=B28)&gt;0)*'Coûts'!$H$5:$H$60)+SUMPRODUCT(('Coûts'!$D$5:$D$60="Annuel")*('Coûts'!$J$5:$J$60="Oui")*('Coûts'!$K$5:$K$60&lt;=EOMONTH(B28,0))*(('Coûts'!$L$5:$L$60="")+('Coûts'!$L$5:$L$60&gt;=B28)&gt;0)*'Coûts'!$H$5:$H$60)+'Paramètres'!$C$12</f>
        <v/>
      </c>
      <c r="P28" s="8">
        <f>SUMPRODUCT(('Coûts'!$D$5:$D$60="Ponctuel")*('Coûts'!$J$5:$J$60="Oui")*('Coûts'!$K$5:$K$60&lt;=EOMONTH(B28,0))*((('Coûts'!$K$5:$K$60&gt;=B28)+(A28=1))&gt;0)*'Coûts'!$I$5:$I$60)</f>
        <v/>
      </c>
      <c r="Q28" s="8">
        <f>L28*('Paramètres'!$C$26+'Paramètres'!$C$27)</f>
        <v/>
      </c>
      <c r="R28" s="9">
        <f>L28-M28-N28-O28-P28-Q28</f>
        <v/>
      </c>
      <c r="S28" s="22" t="n">
        <v>0</v>
      </c>
      <c r="T28" s="9">
        <f>T27+R28+S28</f>
        <v/>
      </c>
    </row>
    <row r="29">
      <c r="B29" s="28" t="inlineStr">
        <is>
          <t>Total</t>
        </is>
      </c>
      <c r="J29" s="29">
        <f>SUM(J5:J28)</f>
        <v/>
      </c>
      <c r="K29" s="29">
        <f>SUM(K5:K28)</f>
        <v/>
      </c>
      <c r="L29" s="29">
        <f>SUM(L5:L28)</f>
        <v/>
      </c>
      <c r="M29" s="29">
        <f>SUM(M5:M28)</f>
        <v/>
      </c>
      <c r="N29" s="29">
        <f>SUM(N5:N28)</f>
        <v/>
      </c>
      <c r="O29" s="29">
        <f>SUM(O5:O28)</f>
        <v/>
      </c>
      <c r="P29" s="29">
        <f>SUM(P5:P28)</f>
        <v/>
      </c>
      <c r="Q29" s="29">
        <f>SUM(Q5:Q28)</f>
        <v/>
      </c>
      <c r="R29" s="29">
        <f>SUM(R5:R28)</f>
        <v/>
      </c>
      <c r="S29" s="29">
        <f>SUM(S5:S28)</f>
        <v/>
      </c>
    </row>
  </sheetData>
  <conditionalFormatting sqref="T5:T28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E2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6" customWidth="1" min="3" max="3"/>
    <col width="16" customWidth="1" min="4" max="4"/>
    <col width="50" customWidth="1" min="5" max="5"/>
  </cols>
  <sheetData>
    <row r="1">
      <c r="B1" s="4" t="inlineStr">
        <is>
          <t>Compte de résultat et bilan simplifiés</t>
        </is>
      </c>
    </row>
    <row r="2">
      <c r="B2" s="11" t="inlineStr">
        <is>
          <t>Vue de gestion issue de la projection (une micro-entreprise n'établit pas de bilan comptable).</t>
        </is>
      </c>
    </row>
    <row r="4">
      <c r="B4" s="6" t="inlineStr">
        <is>
          <t>Compte de résultat</t>
        </is>
      </c>
      <c r="C4" s="6" t="inlineStr">
        <is>
          <t>Année 1</t>
        </is>
      </c>
      <c r="D4" s="6" t="inlineStr">
        <is>
          <t>Année 2</t>
        </is>
      </c>
      <c r="E4" s="6" t="inlineStr">
        <is>
          <t>Remarque</t>
        </is>
      </c>
    </row>
    <row r="5">
      <c r="B5" s="7" t="inlineStr">
        <is>
          <t>Produits : chiffre d'affaires</t>
        </is>
      </c>
      <c r="C5" s="9">
        <f>'Synthèse'!C7</f>
        <v/>
      </c>
      <c r="D5" s="9">
        <f>'Synthèse'!D7</f>
        <v/>
      </c>
      <c r="E5" s="11" t="inlineStr"/>
    </row>
    <row r="6">
      <c r="B6" s="7" t="inlineStr">
        <is>
          <t>Charges : coûts variables</t>
        </is>
      </c>
      <c r="C6" s="8">
        <f>'Synthèse'!C8</f>
        <v/>
      </c>
      <c r="D6" s="8">
        <f>'Synthèse'!D8</f>
        <v/>
      </c>
      <c r="E6" s="11" t="inlineStr">
        <is>
          <t>IA par client</t>
        </is>
      </c>
    </row>
    <row r="7">
      <c r="B7" s="7" t="inlineStr">
        <is>
          <t>Charges : frais Stripe</t>
        </is>
      </c>
      <c r="C7" s="8">
        <f>'Synthèse'!C9</f>
        <v/>
      </c>
      <c r="D7" s="8">
        <f>'Synthèse'!D9</f>
        <v/>
      </c>
      <c r="E7" s="11" t="inlineStr"/>
    </row>
    <row r="8">
      <c r="B8" s="7" t="inlineStr">
        <is>
          <t>Charges : frais fixes</t>
        </is>
      </c>
      <c r="C8" s="8">
        <f>'Synthèse'!C10</f>
        <v/>
      </c>
      <c r="D8" s="8">
        <f>'Synthèse'!D10</f>
        <v/>
      </c>
      <c r="E8" s="11" t="inlineStr">
        <is>
          <t>Hébergement, domaines, abonnements, assurance…</t>
        </is>
      </c>
    </row>
    <row r="9">
      <c r="B9" s="7" t="inlineStr">
        <is>
          <t>Charges : dépenses ponctuelles</t>
        </is>
      </c>
      <c r="C9" s="8">
        <f>'Synthèse'!C11</f>
        <v/>
      </c>
      <c r="D9" s="8">
        <f>'Synthèse'!D11</f>
        <v/>
      </c>
      <c r="E9" s="11" t="inlineStr">
        <is>
          <t>Démarches, juridique, INPI, kit</t>
        </is>
      </c>
    </row>
    <row r="10">
      <c r="B10" s="7" t="inlineStr">
        <is>
          <t>Charges : cotisations et impôt</t>
        </is>
      </c>
      <c r="C10" s="8">
        <f>'Synthèse'!C12</f>
        <v/>
      </c>
      <c r="D10" s="8">
        <f>'Synthèse'!D12</f>
        <v/>
      </c>
      <c r="E10" s="11" t="inlineStr"/>
    </row>
    <row r="11">
      <c r="B11" s="7" t="inlineStr">
        <is>
          <t>Résultat de l'exercice</t>
        </is>
      </c>
      <c r="C11" s="9">
        <f>C5-SUM(C6:C10)</f>
        <v/>
      </c>
      <c r="D11" s="9">
        <f>D5-SUM(D6:D10)</f>
        <v/>
      </c>
      <c r="E11" s="11" t="inlineStr"/>
    </row>
    <row r="14">
      <c r="B14" s="6" t="inlineStr">
        <is>
          <t>Bilan au 30 septembre</t>
        </is>
      </c>
      <c r="C14" s="6" t="inlineStr">
        <is>
          <t>2027 (fin année 1)</t>
        </is>
      </c>
      <c r="D14" s="6" t="inlineStr">
        <is>
          <t>2028 (fin année 2)</t>
        </is>
      </c>
      <c r="E14" s="6" t="inlineStr">
        <is>
          <t>Remarque</t>
        </is>
      </c>
    </row>
    <row r="15">
      <c r="B15" s="30" t="inlineStr">
        <is>
          <t>ACTIF</t>
        </is>
      </c>
    </row>
    <row r="16">
      <c r="B16" s="7" t="inlineStr">
        <is>
          <t>Trésorerie disponible</t>
        </is>
      </c>
      <c r="C16" s="8">
        <f>MAX(0,'Projection'!T16)</f>
        <v/>
      </c>
      <c r="D16" s="8">
        <f>MAX(0,'Projection'!T28)</f>
        <v/>
      </c>
      <c r="E16" s="11" t="inlineStr">
        <is>
          <t>Compte bancaire</t>
        </is>
      </c>
    </row>
    <row r="17">
      <c r="B17" s="7" t="inlineStr">
        <is>
          <t>Créances clients</t>
        </is>
      </c>
      <c r="C17" s="22" t="n">
        <v>0</v>
      </c>
      <c r="D17" s="22" t="n">
        <v>0</v>
      </c>
      <c r="E17" s="11" t="inlineStr">
        <is>
          <t>À saisir si factures non encaissées</t>
        </is>
      </c>
    </row>
    <row r="18">
      <c r="B18" s="7" t="inlineStr">
        <is>
          <t>Total actif</t>
        </is>
      </c>
      <c r="C18" s="9">
        <f>SUM(C16:C17)</f>
        <v/>
      </c>
      <c r="D18" s="9">
        <f>SUM(D16:D17)</f>
        <v/>
      </c>
      <c r="E18" s="11" t="inlineStr"/>
    </row>
    <row r="19">
      <c r="B19" s="30" t="inlineStr">
        <is>
          <t>PASSIF</t>
        </is>
      </c>
    </row>
    <row r="20">
      <c r="B20" s="7" t="inlineStr">
        <is>
          <t>Apports des associés (cumul)</t>
        </is>
      </c>
      <c r="C20" s="8">
        <f>SUM('Projection'!S5:S16)</f>
        <v/>
      </c>
      <c r="D20" s="8">
        <f>SUM('Projection'!S5:S28)</f>
        <v/>
      </c>
      <c r="E20" s="11" t="inlineStr">
        <is>
          <t>Capital ou compte courant d'associé</t>
        </is>
      </c>
    </row>
    <row r="21">
      <c r="B21" s="7" t="inlineStr">
        <is>
          <t>Résultats cumulés</t>
        </is>
      </c>
      <c r="C21" s="8">
        <f>SUM('Projection'!R5:R16)</f>
        <v/>
      </c>
      <c r="D21" s="8">
        <f>SUM('Projection'!R5:R28)</f>
        <v/>
      </c>
      <c r="E21" s="11" t="inlineStr">
        <is>
          <t>Non distribués</t>
        </is>
      </c>
    </row>
    <row r="22">
      <c r="B22" s="7" t="inlineStr">
        <is>
          <t>Besoin de financement non couvert</t>
        </is>
      </c>
      <c r="C22" s="8">
        <f>MAX(0,-'Projection'!T16)</f>
        <v/>
      </c>
      <c r="D22" s="8">
        <f>MAX(0,-'Projection'!T28)</f>
        <v/>
      </c>
      <c r="E22" s="11" t="inlineStr">
        <is>
          <t>Si &gt; 0 : prévoir des apports dans Projection</t>
        </is>
      </c>
    </row>
    <row r="23">
      <c r="B23" s="7" t="inlineStr">
        <is>
          <t>Total passif</t>
        </is>
      </c>
      <c r="C23" s="9">
        <f>SUM(C20:C22)</f>
        <v/>
      </c>
      <c r="D23" s="9">
        <f>SUM(D20:D22)</f>
        <v/>
      </c>
      <c r="E23" s="11" t="inlineStr"/>
    </row>
    <row r="24">
      <c r="B24" s="7" t="inlineStr">
        <is>
          <t>Contrôle (actif − passif = 0)</t>
        </is>
      </c>
      <c r="C24" s="8">
        <f>C18-C23</f>
        <v/>
      </c>
      <c r="D24" s="8">
        <f>D18-D23</f>
        <v/>
      </c>
      <c r="E24" s="11" t="inlineStr"/>
    </row>
    <row r="26">
      <c r="B26" s="11" t="inlineStr">
        <is>
          <t>Créances clients saisies à l'actif : ajouter le même montant en résultat pour garder l'équilibre.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1" customWidth="1" min="3" max="3"/>
    <col width="8" customWidth="1" min="4" max="4"/>
    <col width="13" customWidth="1" min="5" max="5"/>
    <col width="13" customWidth="1" min="6" max="6"/>
    <col width="14" customWidth="1" min="7" max="7"/>
    <col width="13" customWidth="1" min="8" max="8"/>
    <col width="40" customWidth="1" min="9" max="9"/>
    <col width="32" customWidth="1" min="11" max="11"/>
    <col width="14" customWidth="1" min="12" max="12"/>
  </cols>
  <sheetData>
    <row r="1">
      <c r="A1" s="4" t="inlineStr">
        <is>
          <t>Avances des associés (dépenses payées personnellement)</t>
        </is>
      </c>
    </row>
    <row r="2">
      <c r="A2" s="11" t="inlineStr">
        <is>
          <t>À la création de la structure, le total non remboursé devient un compte courant d'associé.</t>
        </is>
      </c>
    </row>
    <row r="4">
      <c r="A4" s="6" t="inlineStr">
        <is>
          <t>Date</t>
        </is>
      </c>
      <c r="B4" s="6" t="inlineStr">
        <is>
          <t>Dépense</t>
        </is>
      </c>
      <c r="C4" s="6" t="inlineStr">
        <is>
          <t>Montant</t>
        </is>
      </c>
      <c r="D4" s="6" t="inlineStr">
        <is>
          <t>Devise</t>
        </is>
      </c>
      <c r="E4" s="6" t="inlineStr">
        <is>
          <t>Montant (€)</t>
        </is>
      </c>
      <c r="F4" s="6" t="inlineStr">
        <is>
          <t>Avancé par</t>
        </is>
      </c>
      <c r="G4" s="6" t="inlineStr">
        <is>
          <t>Remboursé le</t>
        </is>
      </c>
      <c r="H4" s="6" t="inlineStr">
        <is>
          <t>Statut</t>
        </is>
      </c>
      <c r="I4" s="6" t="inlineStr">
        <is>
          <t>Remarque</t>
        </is>
      </c>
      <c r="K4" s="6" t="inlineStr">
        <is>
          <t>Synthèse</t>
        </is>
      </c>
      <c r="L4" s="6" t="inlineStr">
        <is>
          <t>€</t>
        </is>
      </c>
    </row>
    <row r="5">
      <c r="A5" s="21" t="n">
        <v>46291</v>
      </c>
      <c r="B5" s="15" t="inlineStr">
        <is>
          <t>Domaine ai-team.fr</t>
        </is>
      </c>
      <c r="C5" s="23" t="n"/>
      <c r="D5" s="15" t="inlineStr">
        <is>
          <t>€</t>
        </is>
      </c>
      <c r="E5" s="20">
        <f>IF(C5="","",IF(D5="$",C5*'Paramètres'!$C$5,C5))</f>
        <v/>
      </c>
      <c r="F5" s="15" t="inlineStr">
        <is>
          <t>Daouda</t>
        </is>
      </c>
      <c r="G5" s="21" t="n"/>
      <c r="H5" s="7">
        <f>IF(B5="","",IF(G5="","À rembourser","Remboursé"))</f>
        <v/>
      </c>
      <c r="I5" s="11" t="inlineStr">
        <is>
          <t>Montant à renseigner</t>
        </is>
      </c>
      <c r="K5" s="7" t="inlineStr">
        <is>
          <t>Avancé par Daouda</t>
        </is>
      </c>
      <c r="L5" s="12">
        <f>SUMIFS(E5:E80,F5:F80,"Daouda")</f>
        <v/>
      </c>
    </row>
    <row r="6">
      <c r="A6" s="21" t="n">
        <v>46291</v>
      </c>
      <c r="B6" s="15" t="inlineStr">
        <is>
          <t>Domaine ia-factor.fr (1re année)</t>
        </is>
      </c>
      <c r="C6" s="23" t="n">
        <v>12.99</v>
      </c>
      <c r="D6" s="15" t="inlineStr">
        <is>
          <t>$</t>
        </is>
      </c>
      <c r="E6" s="20">
        <f>IF(C6="","",IF(D6="$",C6*'Paramètres'!$C$5,C6))</f>
        <v/>
      </c>
      <c r="F6" s="15" t="inlineStr">
        <is>
          <t>Daouda</t>
        </is>
      </c>
      <c r="G6" s="21" t="n"/>
      <c r="H6" s="7">
        <f>IF(B6="","",IF(G6="","À rembourser","Remboursé"))</f>
        <v/>
      </c>
      <c r="I6" s="11" t="inlineStr">
        <is>
          <t>Vérifier sur la facture</t>
        </is>
      </c>
      <c r="K6" s="7" t="inlineStr">
        <is>
          <t>Avancé par Régis</t>
        </is>
      </c>
      <c r="L6" s="12">
        <f>SUMIFS(E5:E80,F5:F80,"Régis")</f>
        <v/>
      </c>
    </row>
    <row r="7">
      <c r="A7" s="21" t="n">
        <v>46291</v>
      </c>
      <c r="B7" s="15" t="inlineStr">
        <is>
          <t>VPS KVM 2 (1re période)</t>
        </is>
      </c>
      <c r="C7" s="23" t="n">
        <v>24.49</v>
      </c>
      <c r="D7" s="15" t="inlineStr">
        <is>
          <t>$</t>
        </is>
      </c>
      <c r="E7" s="20">
        <f>IF(C7="","",IF(D7="$",C7*'Paramètres'!$C$5,C7))</f>
        <v/>
      </c>
      <c r="F7" s="15" t="inlineStr">
        <is>
          <t>Daouda</t>
        </is>
      </c>
      <c r="G7" s="21" t="n"/>
      <c r="H7" s="7">
        <f>IF(B7="","",IF(G7="","À rembourser","Remboursé"))</f>
        <v/>
      </c>
      <c r="I7" s="11" t="inlineStr">
        <is>
          <t>Vérifier sur la facture hPanel</t>
        </is>
      </c>
      <c r="K7" s="7" t="inlineStr">
        <is>
          <t>Total avancé</t>
        </is>
      </c>
      <c r="L7" s="12">
        <f>L5+L6</f>
        <v/>
      </c>
    </row>
    <row r="8">
      <c r="A8" s="21" t="n">
        <v>46291</v>
      </c>
      <c r="B8" s="15" t="inlineStr">
        <is>
          <t>Domaine ia-factor.com</t>
        </is>
      </c>
      <c r="C8" s="23" t="n">
        <v>10</v>
      </c>
      <c r="D8" s="15" t="inlineStr">
        <is>
          <t>€</t>
        </is>
      </c>
      <c r="E8" s="20">
        <f>IF(C8="","",IF(D8="$",C8*'Paramètres'!$C$5,C8))</f>
        <v/>
      </c>
      <c r="F8" s="15" t="inlineStr">
        <is>
          <t>Régis</t>
        </is>
      </c>
      <c r="G8" s="21" t="n"/>
      <c r="H8" s="7">
        <f>IF(B8="","",IF(G8="","À rembourser","Remboursé"))</f>
        <v/>
      </c>
      <c r="I8" s="11" t="inlineStr"/>
      <c r="K8" s="7" t="inlineStr">
        <is>
          <t>Reste à rembourser à Daouda</t>
        </is>
      </c>
      <c r="L8" s="12">
        <f>SUMIFS(E5:E80,F5:F80,"Daouda",G5:G80,"")</f>
        <v/>
      </c>
    </row>
    <row r="9">
      <c r="A9" s="21" t="n">
        <v>46292</v>
      </c>
      <c r="B9" s="15" t="inlineStr">
        <is>
          <t>Crédits API Claude</t>
        </is>
      </c>
      <c r="C9" s="23" t="n">
        <v>6</v>
      </c>
      <c r="D9" s="15" t="inlineStr">
        <is>
          <t>$</t>
        </is>
      </c>
      <c r="E9" s="20">
        <f>IF(C9="","",IF(D9="$",C9*'Paramètres'!$C$5,C9))</f>
        <v/>
      </c>
      <c r="F9" s="15" t="inlineStr">
        <is>
          <t>Daouda</t>
        </is>
      </c>
      <c r="G9" s="21" t="n"/>
      <c r="H9" s="7">
        <f>IF(B9="","",IF(G9="","À rembourser","Remboursé"))</f>
        <v/>
      </c>
      <c r="I9" s="11" t="inlineStr">
        <is>
          <t>Expirent le 27/09/2027</t>
        </is>
      </c>
      <c r="K9" s="7" t="inlineStr">
        <is>
          <t>Reste à rembourser à Régis</t>
        </is>
      </c>
      <c r="L9" s="12">
        <f>SUMIFS(E5:E80,F5:F80,"Régis",G5:G80,"")</f>
        <v/>
      </c>
    </row>
    <row r="10">
      <c r="A10" s="21" t="n"/>
      <c r="B10" s="15" t="n"/>
      <c r="C10" s="23" t="n"/>
      <c r="D10" s="15" t="n"/>
      <c r="E10" s="20">
        <f>IF(C10="","",IF(D10="$",C10*'Paramètres'!$C$5,C10))</f>
        <v/>
      </c>
      <c r="F10" s="15" t="n"/>
      <c r="G10" s="21" t="n"/>
      <c r="H10" s="7">
        <f>IF(B10="","",IF(G10="","À rembourser","Remboursé"))</f>
        <v/>
      </c>
      <c r="I10" s="11" t="n"/>
      <c r="K10" s="7" t="inlineStr">
        <is>
          <t>Écart à 50/50 (positif : Régis doit à Daouda)</t>
        </is>
      </c>
      <c r="L10" s="12">
        <f>(L5-L6)/2</f>
        <v/>
      </c>
    </row>
    <row r="11">
      <c r="A11" s="21" t="n"/>
      <c r="B11" s="15" t="n"/>
      <c r="C11" s="23" t="n"/>
      <c r="D11" s="15" t="n"/>
      <c r="E11" s="20">
        <f>IF(C11="","",IF(D11="$",C11*'Paramètres'!$C$5,C11))</f>
        <v/>
      </c>
      <c r="F11" s="15" t="n"/>
      <c r="G11" s="21" t="n"/>
      <c r="H11" s="7">
        <f>IF(B11="","",IF(G11="","À rembourser","Remboursé"))</f>
        <v/>
      </c>
      <c r="I11" s="11" t="n"/>
    </row>
    <row r="12">
      <c r="A12" s="21" t="n"/>
      <c r="B12" s="15" t="n"/>
      <c r="C12" s="23" t="n"/>
      <c r="D12" s="15" t="n"/>
      <c r="E12" s="20">
        <f>IF(C12="","",IF(D12="$",C12*'Paramètres'!$C$5,C12))</f>
        <v/>
      </c>
      <c r="F12" s="15" t="n"/>
      <c r="G12" s="21" t="n"/>
      <c r="H12" s="7">
        <f>IF(B12="","",IF(G12="","À rembourser","Remboursé"))</f>
        <v/>
      </c>
      <c r="I12" s="11" t="n"/>
    </row>
    <row r="13">
      <c r="A13" s="21" t="n"/>
      <c r="B13" s="15" t="n"/>
      <c r="C13" s="23" t="n"/>
      <c r="D13" s="15" t="n"/>
      <c r="E13" s="20">
        <f>IF(C13="","",IF(D13="$",C13*'Paramètres'!$C$5,C13))</f>
        <v/>
      </c>
      <c r="F13" s="15" t="n"/>
      <c r="G13" s="21" t="n"/>
      <c r="H13" s="7">
        <f>IF(B13="","",IF(G13="","À rembourser","Remboursé"))</f>
        <v/>
      </c>
      <c r="I13" s="11" t="n"/>
    </row>
    <row r="14">
      <c r="A14" s="21" t="n"/>
      <c r="B14" s="15" t="n"/>
      <c r="C14" s="23" t="n"/>
      <c r="D14" s="15" t="n"/>
      <c r="E14" s="20">
        <f>IF(C14="","",IF(D14="$",C14*'Paramètres'!$C$5,C14))</f>
        <v/>
      </c>
      <c r="F14" s="15" t="n"/>
      <c r="G14" s="21" t="n"/>
      <c r="H14" s="7">
        <f>IF(B14="","",IF(G14="","À rembourser","Remboursé"))</f>
        <v/>
      </c>
      <c r="I14" s="11" t="n"/>
    </row>
    <row r="15">
      <c r="A15" s="21" t="n"/>
      <c r="B15" s="15" t="n"/>
      <c r="C15" s="23" t="n"/>
      <c r="D15" s="15" t="n"/>
      <c r="E15" s="20">
        <f>IF(C15="","",IF(D15="$",C15*'Paramètres'!$C$5,C15))</f>
        <v/>
      </c>
      <c r="F15" s="15" t="n"/>
      <c r="G15" s="21" t="n"/>
      <c r="H15" s="7">
        <f>IF(B15="","",IF(G15="","À rembourser","Remboursé"))</f>
        <v/>
      </c>
      <c r="I15" s="11" t="n"/>
    </row>
    <row r="16">
      <c r="A16" s="21" t="n"/>
      <c r="B16" s="15" t="n"/>
      <c r="C16" s="23" t="n"/>
      <c r="D16" s="15" t="n"/>
      <c r="E16" s="20">
        <f>IF(C16="","",IF(D16="$",C16*'Paramètres'!$C$5,C16))</f>
        <v/>
      </c>
      <c r="F16" s="15" t="n"/>
      <c r="G16" s="21" t="n"/>
      <c r="H16" s="7">
        <f>IF(B16="","",IF(G16="","À rembourser","Remboursé"))</f>
        <v/>
      </c>
      <c r="I16" s="11" t="n"/>
    </row>
    <row r="17">
      <c r="A17" s="21" t="n"/>
      <c r="B17" s="15" t="n"/>
      <c r="C17" s="23" t="n"/>
      <c r="D17" s="15" t="n"/>
      <c r="E17" s="20">
        <f>IF(C17="","",IF(D17="$",C17*'Paramètres'!$C$5,C17))</f>
        <v/>
      </c>
      <c r="F17" s="15" t="n"/>
      <c r="G17" s="21" t="n"/>
      <c r="H17" s="7">
        <f>IF(B17="","",IF(G17="","À rembourser","Remboursé"))</f>
        <v/>
      </c>
      <c r="I17" s="11" t="n"/>
    </row>
    <row r="18">
      <c r="A18" s="21" t="n"/>
      <c r="B18" s="15" t="n"/>
      <c r="C18" s="23" t="n"/>
      <c r="D18" s="15" t="n"/>
      <c r="E18" s="20">
        <f>IF(C18="","",IF(D18="$",C18*'Paramètres'!$C$5,C18))</f>
        <v/>
      </c>
      <c r="F18" s="15" t="n"/>
      <c r="G18" s="21" t="n"/>
      <c r="H18" s="7">
        <f>IF(B18="","",IF(G18="","À rembourser","Remboursé"))</f>
        <v/>
      </c>
      <c r="I18" s="11" t="n"/>
    </row>
    <row r="19">
      <c r="A19" s="21" t="n"/>
      <c r="B19" s="15" t="n"/>
      <c r="C19" s="23" t="n"/>
      <c r="D19" s="15" t="n"/>
      <c r="E19" s="20">
        <f>IF(C19="","",IF(D19="$",C19*'Paramètres'!$C$5,C19))</f>
        <v/>
      </c>
      <c r="F19" s="15" t="n"/>
      <c r="G19" s="21" t="n"/>
      <c r="H19" s="7">
        <f>IF(B19="","",IF(G19="","À rembourser","Remboursé"))</f>
        <v/>
      </c>
      <c r="I19" s="11" t="n"/>
    </row>
    <row r="20">
      <c r="A20" s="21" t="n"/>
      <c r="B20" s="15" t="n"/>
      <c r="C20" s="23" t="n"/>
      <c r="D20" s="15" t="n"/>
      <c r="E20" s="20">
        <f>IF(C20="","",IF(D20="$",C20*'Paramètres'!$C$5,C20))</f>
        <v/>
      </c>
      <c r="F20" s="15" t="n"/>
      <c r="G20" s="21" t="n"/>
      <c r="H20" s="7">
        <f>IF(B20="","",IF(G20="","À rembourser","Remboursé"))</f>
        <v/>
      </c>
      <c r="I20" s="11" t="n"/>
    </row>
    <row r="21">
      <c r="A21" s="21" t="n"/>
      <c r="B21" s="15" t="n"/>
      <c r="C21" s="23" t="n"/>
      <c r="D21" s="15" t="n"/>
      <c r="E21" s="20">
        <f>IF(C21="","",IF(D21="$",C21*'Paramètres'!$C$5,C21))</f>
        <v/>
      </c>
      <c r="F21" s="15" t="n"/>
      <c r="G21" s="21" t="n"/>
      <c r="H21" s="7">
        <f>IF(B21="","",IF(G21="","À rembourser","Remboursé"))</f>
        <v/>
      </c>
      <c r="I21" s="11" t="n"/>
    </row>
    <row r="22">
      <c r="A22" s="21" t="n"/>
      <c r="B22" s="15" t="n"/>
      <c r="C22" s="23" t="n"/>
      <c r="D22" s="15" t="n"/>
      <c r="E22" s="20">
        <f>IF(C22="","",IF(D22="$",C22*'Paramètres'!$C$5,C22))</f>
        <v/>
      </c>
      <c r="F22" s="15" t="n"/>
      <c r="G22" s="21" t="n"/>
      <c r="H22" s="7">
        <f>IF(B22="","",IF(G22="","À rembourser","Remboursé"))</f>
        <v/>
      </c>
      <c r="I22" s="11" t="n"/>
    </row>
    <row r="23">
      <c r="A23" s="21" t="n"/>
      <c r="B23" s="15" t="n"/>
      <c r="C23" s="23" t="n"/>
      <c r="D23" s="15" t="n"/>
      <c r="E23" s="20">
        <f>IF(C23="","",IF(D23="$",C23*'Paramètres'!$C$5,C23))</f>
        <v/>
      </c>
      <c r="F23" s="15" t="n"/>
      <c r="G23" s="21" t="n"/>
      <c r="H23" s="7">
        <f>IF(B23="","",IF(G23="","À rembourser","Remboursé"))</f>
        <v/>
      </c>
      <c r="I23" s="11" t="n"/>
    </row>
    <row r="24">
      <c r="A24" s="21" t="n"/>
      <c r="B24" s="15" t="n"/>
      <c r="C24" s="23" t="n"/>
      <c r="D24" s="15" t="n"/>
      <c r="E24" s="20">
        <f>IF(C24="","",IF(D24="$",C24*'Paramètres'!$C$5,C24))</f>
        <v/>
      </c>
      <c r="F24" s="15" t="n"/>
      <c r="G24" s="21" t="n"/>
      <c r="H24" s="7">
        <f>IF(B24="","",IF(G24="","À rembourser","Remboursé"))</f>
        <v/>
      </c>
      <c r="I24" s="11" t="n"/>
    </row>
    <row r="25">
      <c r="A25" s="21" t="n"/>
      <c r="B25" s="15" t="n"/>
      <c r="C25" s="23" t="n"/>
      <c r="D25" s="15" t="n"/>
      <c r="E25" s="20">
        <f>IF(C25="","",IF(D25="$",C25*'Paramètres'!$C$5,C25))</f>
        <v/>
      </c>
      <c r="F25" s="15" t="n"/>
      <c r="G25" s="21" t="n"/>
      <c r="H25" s="7">
        <f>IF(B25="","",IF(G25="","À rembourser","Remboursé"))</f>
        <v/>
      </c>
      <c r="I25" s="11" t="n"/>
    </row>
    <row r="26">
      <c r="A26" s="21" t="n"/>
      <c r="B26" s="15" t="n"/>
      <c r="C26" s="23" t="n"/>
      <c r="D26" s="15" t="n"/>
      <c r="E26" s="20">
        <f>IF(C26="","",IF(D26="$",C26*'Paramètres'!$C$5,C26))</f>
        <v/>
      </c>
      <c r="F26" s="15" t="n"/>
      <c r="G26" s="21" t="n"/>
      <c r="H26" s="7">
        <f>IF(B26="","",IF(G26="","À rembourser","Remboursé"))</f>
        <v/>
      </c>
      <c r="I26" s="11" t="n"/>
    </row>
    <row r="27">
      <c r="A27" s="21" t="n"/>
      <c r="B27" s="15" t="n"/>
      <c r="C27" s="23" t="n"/>
      <c r="D27" s="15" t="n"/>
      <c r="E27" s="20">
        <f>IF(C27="","",IF(D27="$",C27*'Paramètres'!$C$5,C27))</f>
        <v/>
      </c>
      <c r="F27" s="15" t="n"/>
      <c r="G27" s="21" t="n"/>
      <c r="H27" s="7">
        <f>IF(B27="","",IF(G27="","À rembourser","Remboursé"))</f>
        <v/>
      </c>
      <c r="I27" s="11" t="n"/>
    </row>
    <row r="28">
      <c r="A28" s="21" t="n"/>
      <c r="B28" s="15" t="n"/>
      <c r="C28" s="23" t="n"/>
      <c r="D28" s="15" t="n"/>
      <c r="E28" s="20">
        <f>IF(C28="","",IF(D28="$",C28*'Paramètres'!$C$5,C28))</f>
        <v/>
      </c>
      <c r="F28" s="15" t="n"/>
      <c r="G28" s="21" t="n"/>
      <c r="H28" s="7">
        <f>IF(B28="","",IF(G28="","À rembourser","Remboursé"))</f>
        <v/>
      </c>
      <c r="I28" s="11" t="n"/>
    </row>
    <row r="29">
      <c r="A29" s="21" t="n"/>
      <c r="B29" s="15" t="n"/>
      <c r="C29" s="23" t="n"/>
      <c r="D29" s="15" t="n"/>
      <c r="E29" s="20">
        <f>IF(C29="","",IF(D29="$",C29*'Paramètres'!$C$5,C29))</f>
        <v/>
      </c>
      <c r="F29" s="15" t="n"/>
      <c r="G29" s="21" t="n"/>
      <c r="H29" s="7">
        <f>IF(B29="","",IF(G29="","À rembourser","Remboursé"))</f>
        <v/>
      </c>
      <c r="I29" s="11" t="n"/>
    </row>
    <row r="30">
      <c r="A30" s="21" t="n"/>
      <c r="B30" s="15" t="n"/>
      <c r="C30" s="23" t="n"/>
      <c r="D30" s="15" t="n"/>
      <c r="E30" s="20">
        <f>IF(C30="","",IF(D30="$",C30*'Paramètres'!$C$5,C30))</f>
        <v/>
      </c>
      <c r="F30" s="15" t="n"/>
      <c r="G30" s="21" t="n"/>
      <c r="H30" s="7">
        <f>IF(B30="","",IF(G30="","À rembourser","Remboursé"))</f>
        <v/>
      </c>
      <c r="I30" s="11" t="n"/>
    </row>
    <row r="31">
      <c r="A31" s="21" t="n"/>
      <c r="B31" s="15" t="n"/>
      <c r="C31" s="23" t="n"/>
      <c r="D31" s="15" t="n"/>
      <c r="E31" s="20">
        <f>IF(C31="","",IF(D31="$",C31*'Paramètres'!$C$5,C31))</f>
        <v/>
      </c>
      <c r="F31" s="15" t="n"/>
      <c r="G31" s="21" t="n"/>
      <c r="H31" s="7">
        <f>IF(B31="","",IF(G31="","À rembourser","Remboursé"))</f>
        <v/>
      </c>
      <c r="I31" s="11" t="n"/>
    </row>
    <row r="32">
      <c r="A32" s="21" t="n"/>
      <c r="B32" s="15" t="n"/>
      <c r="C32" s="23" t="n"/>
      <c r="D32" s="15" t="n"/>
      <c r="E32" s="20">
        <f>IF(C32="","",IF(D32="$",C32*'Paramètres'!$C$5,C32))</f>
        <v/>
      </c>
      <c r="F32" s="15" t="n"/>
      <c r="G32" s="21" t="n"/>
      <c r="H32" s="7">
        <f>IF(B32="","",IF(G32="","À rembourser","Remboursé"))</f>
        <v/>
      </c>
      <c r="I32" s="11" t="n"/>
    </row>
    <row r="33">
      <c r="A33" s="21" t="n"/>
      <c r="B33" s="15" t="n"/>
      <c r="C33" s="23" t="n"/>
      <c r="D33" s="15" t="n"/>
      <c r="E33" s="20">
        <f>IF(C33="","",IF(D33="$",C33*'Paramètres'!$C$5,C33))</f>
        <v/>
      </c>
      <c r="F33" s="15" t="n"/>
      <c r="G33" s="21" t="n"/>
      <c r="H33" s="7">
        <f>IF(B33="","",IF(G33="","À rembourser","Remboursé"))</f>
        <v/>
      </c>
      <c r="I33" s="11" t="n"/>
    </row>
    <row r="34">
      <c r="A34" s="21" t="n"/>
      <c r="B34" s="15" t="n"/>
      <c r="C34" s="23" t="n"/>
      <c r="D34" s="15" t="n"/>
      <c r="E34" s="20">
        <f>IF(C34="","",IF(D34="$",C34*'Paramètres'!$C$5,C34))</f>
        <v/>
      </c>
      <c r="F34" s="15" t="n"/>
      <c r="G34" s="21" t="n"/>
      <c r="H34" s="7">
        <f>IF(B34="","",IF(G34="","À rembourser","Remboursé"))</f>
        <v/>
      </c>
      <c r="I34" s="11" t="n"/>
    </row>
    <row r="35">
      <c r="A35" s="21" t="n"/>
      <c r="B35" s="15" t="n"/>
      <c r="C35" s="23" t="n"/>
      <c r="D35" s="15" t="n"/>
      <c r="E35" s="20">
        <f>IF(C35="","",IF(D35="$",C35*'Paramètres'!$C$5,C35))</f>
        <v/>
      </c>
      <c r="F35" s="15" t="n"/>
      <c r="G35" s="21" t="n"/>
      <c r="H35" s="7">
        <f>IF(B35="","",IF(G35="","À rembourser","Remboursé"))</f>
        <v/>
      </c>
      <c r="I35" s="11" t="n"/>
    </row>
    <row r="36">
      <c r="A36" s="21" t="n"/>
      <c r="B36" s="15" t="n"/>
      <c r="C36" s="23" t="n"/>
      <c r="D36" s="15" t="n"/>
      <c r="E36" s="20">
        <f>IF(C36="","",IF(D36="$",C36*'Paramètres'!$C$5,C36))</f>
        <v/>
      </c>
      <c r="F36" s="15" t="n"/>
      <c r="G36" s="21" t="n"/>
      <c r="H36" s="7">
        <f>IF(B36="","",IF(G36="","À rembourser","Remboursé"))</f>
        <v/>
      </c>
      <c r="I36" s="11" t="n"/>
    </row>
    <row r="37">
      <c r="A37" s="21" t="n"/>
      <c r="B37" s="15" t="n"/>
      <c r="C37" s="23" t="n"/>
      <c r="D37" s="15" t="n"/>
      <c r="E37" s="20">
        <f>IF(C37="","",IF(D37="$",C37*'Paramètres'!$C$5,C37))</f>
        <v/>
      </c>
      <c r="F37" s="15" t="n"/>
      <c r="G37" s="21" t="n"/>
      <c r="H37" s="7">
        <f>IF(B37="","",IF(G37="","À rembourser","Remboursé"))</f>
        <v/>
      </c>
      <c r="I37" s="11" t="n"/>
    </row>
    <row r="38">
      <c r="A38" s="21" t="n"/>
      <c r="B38" s="15" t="n"/>
      <c r="C38" s="23" t="n"/>
      <c r="D38" s="15" t="n"/>
      <c r="E38" s="20">
        <f>IF(C38="","",IF(D38="$",C38*'Paramètres'!$C$5,C38))</f>
        <v/>
      </c>
      <c r="F38" s="15" t="n"/>
      <c r="G38" s="21" t="n"/>
      <c r="H38" s="7">
        <f>IF(B38="","",IF(G38="","À rembourser","Remboursé"))</f>
        <v/>
      </c>
      <c r="I38" s="11" t="n"/>
    </row>
    <row r="39">
      <c r="A39" s="21" t="n"/>
      <c r="B39" s="15" t="n"/>
      <c r="C39" s="23" t="n"/>
      <c r="D39" s="15" t="n"/>
      <c r="E39" s="20">
        <f>IF(C39="","",IF(D39="$",C39*'Paramètres'!$C$5,C39))</f>
        <v/>
      </c>
      <c r="F39" s="15" t="n"/>
      <c r="G39" s="21" t="n"/>
      <c r="H39" s="7">
        <f>IF(B39="","",IF(G39="","À rembourser","Remboursé"))</f>
        <v/>
      </c>
      <c r="I39" s="11" t="n"/>
    </row>
    <row r="40">
      <c r="A40" s="21" t="n"/>
      <c r="B40" s="15" t="n"/>
      <c r="C40" s="23" t="n"/>
      <c r="D40" s="15" t="n"/>
      <c r="E40" s="20">
        <f>IF(C40="","",IF(D40="$",C40*'Paramètres'!$C$5,C40))</f>
        <v/>
      </c>
      <c r="F40" s="15" t="n"/>
      <c r="G40" s="21" t="n"/>
      <c r="H40" s="7">
        <f>IF(B40="","",IF(G40="","À rembourser","Remboursé"))</f>
        <v/>
      </c>
      <c r="I40" s="11" t="n"/>
    </row>
    <row r="41">
      <c r="A41" s="21" t="n"/>
      <c r="B41" s="15" t="n"/>
      <c r="C41" s="23" t="n"/>
      <c r="D41" s="15" t="n"/>
      <c r="E41" s="20">
        <f>IF(C41="","",IF(D41="$",C41*'Paramètres'!$C$5,C41))</f>
        <v/>
      </c>
      <c r="F41" s="15" t="n"/>
      <c r="G41" s="21" t="n"/>
      <c r="H41" s="7">
        <f>IF(B41="","",IF(G41="","À rembourser","Remboursé"))</f>
        <v/>
      </c>
      <c r="I41" s="11" t="n"/>
    </row>
    <row r="42">
      <c r="A42" s="21" t="n"/>
      <c r="B42" s="15" t="n"/>
      <c r="C42" s="23" t="n"/>
      <c r="D42" s="15" t="n"/>
      <c r="E42" s="20">
        <f>IF(C42="","",IF(D42="$",C42*'Paramètres'!$C$5,C42))</f>
        <v/>
      </c>
      <c r="F42" s="15" t="n"/>
      <c r="G42" s="21" t="n"/>
      <c r="H42" s="7">
        <f>IF(B42="","",IF(G42="","À rembourser","Remboursé"))</f>
        <v/>
      </c>
      <c r="I42" s="11" t="n"/>
    </row>
    <row r="43">
      <c r="A43" s="21" t="n"/>
      <c r="B43" s="15" t="n"/>
      <c r="C43" s="23" t="n"/>
      <c r="D43" s="15" t="n"/>
      <c r="E43" s="20">
        <f>IF(C43="","",IF(D43="$",C43*'Paramètres'!$C$5,C43))</f>
        <v/>
      </c>
      <c r="F43" s="15" t="n"/>
      <c r="G43" s="21" t="n"/>
      <c r="H43" s="7">
        <f>IF(B43="","",IF(G43="","À rembourser","Remboursé"))</f>
        <v/>
      </c>
      <c r="I43" s="11" t="n"/>
    </row>
    <row r="44">
      <c r="A44" s="21" t="n"/>
      <c r="B44" s="15" t="n"/>
      <c r="C44" s="23" t="n"/>
      <c r="D44" s="15" t="n"/>
      <c r="E44" s="20">
        <f>IF(C44="","",IF(D44="$",C44*'Paramètres'!$C$5,C44))</f>
        <v/>
      </c>
      <c r="F44" s="15" t="n"/>
      <c r="G44" s="21" t="n"/>
      <c r="H44" s="7">
        <f>IF(B44="","",IF(G44="","À rembourser","Remboursé"))</f>
        <v/>
      </c>
      <c r="I44" s="11" t="n"/>
    </row>
    <row r="45">
      <c r="A45" s="21" t="n"/>
      <c r="B45" s="15" t="n"/>
      <c r="C45" s="23" t="n"/>
      <c r="D45" s="15" t="n"/>
      <c r="E45" s="20">
        <f>IF(C45="","",IF(D45="$",C45*'Paramètres'!$C$5,C45))</f>
        <v/>
      </c>
      <c r="F45" s="15" t="n"/>
      <c r="G45" s="21" t="n"/>
      <c r="H45" s="7">
        <f>IF(B45="","",IF(G45="","À rembourser","Remboursé"))</f>
        <v/>
      </c>
      <c r="I45" s="11" t="n"/>
    </row>
    <row r="46">
      <c r="A46" s="21" t="n"/>
      <c r="B46" s="15" t="n"/>
      <c r="C46" s="23" t="n"/>
      <c r="D46" s="15" t="n"/>
      <c r="E46" s="20">
        <f>IF(C46="","",IF(D46="$",C46*'Paramètres'!$C$5,C46))</f>
        <v/>
      </c>
      <c r="F46" s="15" t="n"/>
      <c r="G46" s="21" t="n"/>
      <c r="H46" s="7">
        <f>IF(B46="","",IF(G46="","À rembourser","Remboursé"))</f>
        <v/>
      </c>
      <c r="I46" s="11" t="n"/>
    </row>
    <row r="47">
      <c r="A47" s="21" t="n"/>
      <c r="B47" s="15" t="n"/>
      <c r="C47" s="23" t="n"/>
      <c r="D47" s="15" t="n"/>
      <c r="E47" s="20">
        <f>IF(C47="","",IF(D47="$",C47*'Paramètres'!$C$5,C47))</f>
        <v/>
      </c>
      <c r="F47" s="15" t="n"/>
      <c r="G47" s="21" t="n"/>
      <c r="H47" s="7">
        <f>IF(B47="","",IF(G47="","À rembourser","Remboursé"))</f>
        <v/>
      </c>
      <c r="I47" s="11" t="n"/>
    </row>
    <row r="48">
      <c r="A48" s="21" t="n"/>
      <c r="B48" s="15" t="n"/>
      <c r="C48" s="23" t="n"/>
      <c r="D48" s="15" t="n"/>
      <c r="E48" s="20">
        <f>IF(C48="","",IF(D48="$",C48*'Paramètres'!$C$5,C48))</f>
        <v/>
      </c>
      <c r="F48" s="15" t="n"/>
      <c r="G48" s="21" t="n"/>
      <c r="H48" s="7">
        <f>IF(B48="","",IF(G48="","À rembourser","Remboursé"))</f>
        <v/>
      </c>
      <c r="I48" s="11" t="n"/>
    </row>
    <row r="49">
      <c r="A49" s="21" t="n"/>
      <c r="B49" s="15" t="n"/>
      <c r="C49" s="23" t="n"/>
      <c r="D49" s="15" t="n"/>
      <c r="E49" s="20">
        <f>IF(C49="","",IF(D49="$",C49*'Paramètres'!$C$5,C49))</f>
        <v/>
      </c>
      <c r="F49" s="15" t="n"/>
      <c r="G49" s="21" t="n"/>
      <c r="H49" s="7">
        <f>IF(B49="","",IF(G49="","À rembourser","Remboursé"))</f>
        <v/>
      </c>
      <c r="I49" s="11" t="n"/>
    </row>
    <row r="50">
      <c r="A50" s="21" t="n"/>
      <c r="B50" s="15" t="n"/>
      <c r="C50" s="23" t="n"/>
      <c r="D50" s="15" t="n"/>
      <c r="E50" s="20">
        <f>IF(C50="","",IF(D50="$",C50*'Paramètres'!$C$5,C50))</f>
        <v/>
      </c>
      <c r="F50" s="15" t="n"/>
      <c r="G50" s="21" t="n"/>
      <c r="H50" s="7">
        <f>IF(B50="","",IF(G50="","À rembourser","Remboursé"))</f>
        <v/>
      </c>
      <c r="I50" s="11" t="n"/>
    </row>
    <row r="51">
      <c r="A51" s="21" t="n"/>
      <c r="B51" s="15" t="n"/>
      <c r="C51" s="23" t="n"/>
      <c r="D51" s="15" t="n"/>
      <c r="E51" s="20">
        <f>IF(C51="","",IF(D51="$",C51*'Paramètres'!$C$5,C51))</f>
        <v/>
      </c>
      <c r="F51" s="15" t="n"/>
      <c r="G51" s="21" t="n"/>
      <c r="H51" s="7">
        <f>IF(B51="","",IF(G51="","À rembourser","Remboursé"))</f>
        <v/>
      </c>
      <c r="I51" s="11" t="n"/>
    </row>
    <row r="52">
      <c r="A52" s="21" t="n"/>
      <c r="B52" s="15" t="n"/>
      <c r="C52" s="23" t="n"/>
      <c r="D52" s="15" t="n"/>
      <c r="E52" s="20">
        <f>IF(C52="","",IF(D52="$",C52*'Paramètres'!$C$5,C52))</f>
        <v/>
      </c>
      <c r="F52" s="15" t="n"/>
      <c r="G52" s="21" t="n"/>
      <c r="H52" s="7">
        <f>IF(B52="","",IF(G52="","À rembourser","Remboursé"))</f>
        <v/>
      </c>
      <c r="I52" s="11" t="n"/>
    </row>
    <row r="53">
      <c r="A53" s="21" t="n"/>
      <c r="B53" s="15" t="n"/>
      <c r="C53" s="23" t="n"/>
      <c r="D53" s="15" t="n"/>
      <c r="E53" s="20">
        <f>IF(C53="","",IF(D53="$",C53*'Paramètres'!$C$5,C53))</f>
        <v/>
      </c>
      <c r="F53" s="15" t="n"/>
      <c r="G53" s="21" t="n"/>
      <c r="H53" s="7">
        <f>IF(B53="","",IF(G53="","À rembourser","Remboursé"))</f>
        <v/>
      </c>
      <c r="I53" s="11" t="n"/>
    </row>
    <row r="54">
      <c r="A54" s="21" t="n"/>
      <c r="B54" s="15" t="n"/>
      <c r="C54" s="23" t="n"/>
      <c r="D54" s="15" t="n"/>
      <c r="E54" s="20">
        <f>IF(C54="","",IF(D54="$",C54*'Paramètres'!$C$5,C54))</f>
        <v/>
      </c>
      <c r="F54" s="15" t="n"/>
      <c r="G54" s="21" t="n"/>
      <c r="H54" s="7">
        <f>IF(B54="","",IF(G54="","À rembourser","Remboursé"))</f>
        <v/>
      </c>
      <c r="I54" s="11" t="n"/>
    </row>
    <row r="55">
      <c r="A55" s="21" t="n"/>
      <c r="B55" s="15" t="n"/>
      <c r="C55" s="23" t="n"/>
      <c r="D55" s="15" t="n"/>
      <c r="E55" s="20">
        <f>IF(C55="","",IF(D55="$",C55*'Paramètres'!$C$5,C55))</f>
        <v/>
      </c>
      <c r="F55" s="15" t="n"/>
      <c r="G55" s="21" t="n"/>
      <c r="H55" s="7">
        <f>IF(B55="","",IF(G55="","À rembourser","Remboursé"))</f>
        <v/>
      </c>
      <c r="I55" s="11" t="n"/>
    </row>
    <row r="56">
      <c r="A56" s="21" t="n"/>
      <c r="B56" s="15" t="n"/>
      <c r="C56" s="23" t="n"/>
      <c r="D56" s="15" t="n"/>
      <c r="E56" s="20">
        <f>IF(C56="","",IF(D56="$",C56*'Paramètres'!$C$5,C56))</f>
        <v/>
      </c>
      <c r="F56" s="15" t="n"/>
      <c r="G56" s="21" t="n"/>
      <c r="H56" s="7">
        <f>IF(B56="","",IF(G56="","À rembourser","Remboursé"))</f>
        <v/>
      </c>
      <c r="I56" s="11" t="n"/>
    </row>
    <row r="57">
      <c r="A57" s="21" t="n"/>
      <c r="B57" s="15" t="n"/>
      <c r="C57" s="23" t="n"/>
      <c r="D57" s="15" t="n"/>
      <c r="E57" s="20">
        <f>IF(C57="","",IF(D57="$",C57*'Paramètres'!$C$5,C57))</f>
        <v/>
      </c>
      <c r="F57" s="15" t="n"/>
      <c r="G57" s="21" t="n"/>
      <c r="H57" s="7">
        <f>IF(B57="","",IF(G57="","À rembourser","Remboursé"))</f>
        <v/>
      </c>
      <c r="I57" s="11" t="n"/>
    </row>
    <row r="58">
      <c r="A58" s="21" t="n"/>
      <c r="B58" s="15" t="n"/>
      <c r="C58" s="23" t="n"/>
      <c r="D58" s="15" t="n"/>
      <c r="E58" s="20">
        <f>IF(C58="","",IF(D58="$",C58*'Paramètres'!$C$5,C58))</f>
        <v/>
      </c>
      <c r="F58" s="15" t="n"/>
      <c r="G58" s="21" t="n"/>
      <c r="H58" s="7">
        <f>IF(B58="","",IF(G58="","À rembourser","Remboursé"))</f>
        <v/>
      </c>
      <c r="I58" s="11" t="n"/>
    </row>
    <row r="59">
      <c r="A59" s="21" t="n"/>
      <c r="B59" s="15" t="n"/>
      <c r="C59" s="23" t="n"/>
      <c r="D59" s="15" t="n"/>
      <c r="E59" s="20">
        <f>IF(C59="","",IF(D59="$",C59*'Paramètres'!$C$5,C59))</f>
        <v/>
      </c>
      <c r="F59" s="15" t="n"/>
      <c r="G59" s="21" t="n"/>
      <c r="H59" s="7">
        <f>IF(B59="","",IF(G59="","À rembourser","Remboursé"))</f>
        <v/>
      </c>
      <c r="I59" s="11" t="n"/>
    </row>
    <row r="60">
      <c r="A60" s="21" t="n"/>
      <c r="B60" s="15" t="n"/>
      <c r="C60" s="23" t="n"/>
      <c r="D60" s="15" t="n"/>
      <c r="E60" s="20">
        <f>IF(C60="","",IF(D60="$",C60*'Paramètres'!$C$5,C60))</f>
        <v/>
      </c>
      <c r="F60" s="15" t="n"/>
      <c r="G60" s="21" t="n"/>
      <c r="H60" s="7">
        <f>IF(B60="","",IF(G60="","À rembourser","Remboursé"))</f>
        <v/>
      </c>
      <c r="I60" s="11" t="n"/>
    </row>
    <row r="61">
      <c r="A61" s="21" t="n"/>
      <c r="B61" s="15" t="n"/>
      <c r="C61" s="23" t="n"/>
      <c r="D61" s="15" t="n"/>
      <c r="E61" s="20">
        <f>IF(C61="","",IF(D61="$",C61*'Paramètres'!$C$5,C61))</f>
        <v/>
      </c>
      <c r="F61" s="15" t="n"/>
      <c r="G61" s="21" t="n"/>
      <c r="H61" s="7">
        <f>IF(B61="","",IF(G61="","À rembourser","Remboursé"))</f>
        <v/>
      </c>
      <c r="I61" s="11" t="n"/>
    </row>
    <row r="62">
      <c r="A62" s="21" t="n"/>
      <c r="B62" s="15" t="n"/>
      <c r="C62" s="23" t="n"/>
      <c r="D62" s="15" t="n"/>
      <c r="E62" s="20">
        <f>IF(C62="","",IF(D62="$",C62*'Paramètres'!$C$5,C62))</f>
        <v/>
      </c>
      <c r="F62" s="15" t="n"/>
      <c r="G62" s="21" t="n"/>
      <c r="H62" s="7">
        <f>IF(B62="","",IF(G62="","À rembourser","Remboursé"))</f>
        <v/>
      </c>
      <c r="I62" s="11" t="n"/>
    </row>
    <row r="63">
      <c r="A63" s="21" t="n"/>
      <c r="B63" s="15" t="n"/>
      <c r="C63" s="23" t="n"/>
      <c r="D63" s="15" t="n"/>
      <c r="E63" s="20">
        <f>IF(C63="","",IF(D63="$",C63*'Paramètres'!$C$5,C63))</f>
        <v/>
      </c>
      <c r="F63" s="15" t="n"/>
      <c r="G63" s="21" t="n"/>
      <c r="H63" s="7">
        <f>IF(B63="","",IF(G63="","À rembourser","Remboursé"))</f>
        <v/>
      </c>
      <c r="I63" s="11" t="n"/>
    </row>
    <row r="64">
      <c r="A64" s="21" t="n"/>
      <c r="B64" s="15" t="n"/>
      <c r="C64" s="23" t="n"/>
      <c r="D64" s="15" t="n"/>
      <c r="E64" s="20">
        <f>IF(C64="","",IF(D64="$",C64*'Paramètres'!$C$5,C64))</f>
        <v/>
      </c>
      <c r="F64" s="15" t="n"/>
      <c r="G64" s="21" t="n"/>
      <c r="H64" s="7">
        <f>IF(B64="","",IF(G64="","À rembourser","Remboursé"))</f>
        <v/>
      </c>
      <c r="I64" s="11" t="n"/>
    </row>
    <row r="65">
      <c r="A65" s="21" t="n"/>
      <c r="B65" s="15" t="n"/>
      <c r="C65" s="23" t="n"/>
      <c r="D65" s="15" t="n"/>
      <c r="E65" s="20">
        <f>IF(C65="","",IF(D65="$",C65*'Paramètres'!$C$5,C65))</f>
        <v/>
      </c>
      <c r="F65" s="15" t="n"/>
      <c r="G65" s="21" t="n"/>
      <c r="H65" s="7">
        <f>IF(B65="","",IF(G65="","À rembourser","Remboursé"))</f>
        <v/>
      </c>
      <c r="I65" s="11" t="n"/>
    </row>
    <row r="66">
      <c r="A66" s="21" t="n"/>
      <c r="B66" s="15" t="n"/>
      <c r="C66" s="23" t="n"/>
      <c r="D66" s="15" t="n"/>
      <c r="E66" s="20">
        <f>IF(C66="","",IF(D66="$",C66*'Paramètres'!$C$5,C66))</f>
        <v/>
      </c>
      <c r="F66" s="15" t="n"/>
      <c r="G66" s="21" t="n"/>
      <c r="H66" s="7">
        <f>IF(B66="","",IF(G66="","À rembourser","Remboursé"))</f>
        <v/>
      </c>
      <c r="I66" s="11" t="n"/>
    </row>
    <row r="67">
      <c r="A67" s="21" t="n"/>
      <c r="B67" s="15" t="n"/>
      <c r="C67" s="23" t="n"/>
      <c r="D67" s="15" t="n"/>
      <c r="E67" s="20">
        <f>IF(C67="","",IF(D67="$",C67*'Paramètres'!$C$5,C67))</f>
        <v/>
      </c>
      <c r="F67" s="15" t="n"/>
      <c r="G67" s="21" t="n"/>
      <c r="H67" s="7">
        <f>IF(B67="","",IF(G67="","À rembourser","Remboursé"))</f>
        <v/>
      </c>
      <c r="I67" s="11" t="n"/>
    </row>
    <row r="68">
      <c r="A68" s="21" t="n"/>
      <c r="B68" s="15" t="n"/>
      <c r="C68" s="23" t="n"/>
      <c r="D68" s="15" t="n"/>
      <c r="E68" s="20">
        <f>IF(C68="","",IF(D68="$",C68*'Paramètres'!$C$5,C68))</f>
        <v/>
      </c>
      <c r="F68" s="15" t="n"/>
      <c r="G68" s="21" t="n"/>
      <c r="H68" s="7">
        <f>IF(B68="","",IF(G68="","À rembourser","Remboursé"))</f>
        <v/>
      </c>
      <c r="I68" s="11" t="n"/>
    </row>
    <row r="69">
      <c r="A69" s="21" t="n"/>
      <c r="B69" s="15" t="n"/>
      <c r="C69" s="23" t="n"/>
      <c r="D69" s="15" t="n"/>
      <c r="E69" s="20">
        <f>IF(C69="","",IF(D69="$",C69*'Paramètres'!$C$5,C69))</f>
        <v/>
      </c>
      <c r="F69" s="15" t="n"/>
      <c r="G69" s="21" t="n"/>
      <c r="H69" s="7">
        <f>IF(B69="","",IF(G69="","À rembourser","Remboursé"))</f>
        <v/>
      </c>
      <c r="I69" s="11" t="n"/>
    </row>
    <row r="70">
      <c r="A70" s="21" t="n"/>
      <c r="B70" s="15" t="n"/>
      <c r="C70" s="23" t="n"/>
      <c r="D70" s="15" t="n"/>
      <c r="E70" s="20">
        <f>IF(C70="","",IF(D70="$",C70*'Paramètres'!$C$5,C70))</f>
        <v/>
      </c>
      <c r="F70" s="15" t="n"/>
      <c r="G70" s="21" t="n"/>
      <c r="H70" s="7">
        <f>IF(B70="","",IF(G70="","À rembourser","Remboursé"))</f>
        <v/>
      </c>
      <c r="I70" s="11" t="n"/>
    </row>
    <row r="71">
      <c r="A71" s="21" t="n"/>
      <c r="B71" s="15" t="n"/>
      <c r="C71" s="23" t="n"/>
      <c r="D71" s="15" t="n"/>
      <c r="E71" s="20">
        <f>IF(C71="","",IF(D71="$",C71*'Paramètres'!$C$5,C71))</f>
        <v/>
      </c>
      <c r="F71" s="15" t="n"/>
      <c r="G71" s="21" t="n"/>
      <c r="H71" s="7">
        <f>IF(B71="","",IF(G71="","À rembourser","Remboursé"))</f>
        <v/>
      </c>
      <c r="I71" s="11" t="n"/>
    </row>
    <row r="72">
      <c r="A72" s="21" t="n"/>
      <c r="B72" s="15" t="n"/>
      <c r="C72" s="23" t="n"/>
      <c r="D72" s="15" t="n"/>
      <c r="E72" s="20">
        <f>IF(C72="","",IF(D72="$",C72*'Paramètres'!$C$5,C72))</f>
        <v/>
      </c>
      <c r="F72" s="15" t="n"/>
      <c r="G72" s="21" t="n"/>
      <c r="H72" s="7">
        <f>IF(B72="","",IF(G72="","À rembourser","Remboursé"))</f>
        <v/>
      </c>
      <c r="I72" s="11" t="n"/>
    </row>
    <row r="73">
      <c r="A73" s="21" t="n"/>
      <c r="B73" s="15" t="n"/>
      <c r="C73" s="23" t="n"/>
      <c r="D73" s="15" t="n"/>
      <c r="E73" s="20">
        <f>IF(C73="","",IF(D73="$",C73*'Paramètres'!$C$5,C73))</f>
        <v/>
      </c>
      <c r="F73" s="15" t="n"/>
      <c r="G73" s="21" t="n"/>
      <c r="H73" s="7">
        <f>IF(B73="","",IF(G73="","À rembourser","Remboursé"))</f>
        <v/>
      </c>
      <c r="I73" s="11" t="n"/>
    </row>
    <row r="74">
      <c r="A74" s="21" t="n"/>
      <c r="B74" s="15" t="n"/>
      <c r="C74" s="23" t="n"/>
      <c r="D74" s="15" t="n"/>
      <c r="E74" s="20">
        <f>IF(C74="","",IF(D74="$",C74*'Paramètres'!$C$5,C74))</f>
        <v/>
      </c>
      <c r="F74" s="15" t="n"/>
      <c r="G74" s="21" t="n"/>
      <c r="H74" s="7">
        <f>IF(B74="","",IF(G74="","À rembourser","Remboursé"))</f>
        <v/>
      </c>
      <c r="I74" s="11" t="n"/>
    </row>
    <row r="75">
      <c r="A75" s="21" t="n"/>
      <c r="B75" s="15" t="n"/>
      <c r="C75" s="23" t="n"/>
      <c r="D75" s="15" t="n"/>
      <c r="E75" s="20">
        <f>IF(C75="","",IF(D75="$",C75*'Paramètres'!$C$5,C75))</f>
        <v/>
      </c>
      <c r="F75" s="15" t="n"/>
      <c r="G75" s="21" t="n"/>
      <c r="H75" s="7">
        <f>IF(B75="","",IF(G75="","À rembourser","Remboursé"))</f>
        <v/>
      </c>
      <c r="I75" s="11" t="n"/>
    </row>
    <row r="76">
      <c r="A76" s="21" t="n"/>
      <c r="B76" s="15" t="n"/>
      <c r="C76" s="23" t="n"/>
      <c r="D76" s="15" t="n"/>
      <c r="E76" s="20">
        <f>IF(C76="","",IF(D76="$",C76*'Paramètres'!$C$5,C76))</f>
        <v/>
      </c>
      <c r="F76" s="15" t="n"/>
      <c r="G76" s="21" t="n"/>
      <c r="H76" s="7">
        <f>IF(B76="","",IF(G76="","À rembourser","Remboursé"))</f>
        <v/>
      </c>
      <c r="I76" s="11" t="n"/>
    </row>
    <row r="77">
      <c r="A77" s="21" t="n"/>
      <c r="B77" s="15" t="n"/>
      <c r="C77" s="23" t="n"/>
      <c r="D77" s="15" t="n"/>
      <c r="E77" s="20">
        <f>IF(C77="","",IF(D77="$",C77*'Paramètres'!$C$5,C77))</f>
        <v/>
      </c>
      <c r="F77" s="15" t="n"/>
      <c r="G77" s="21" t="n"/>
      <c r="H77" s="7">
        <f>IF(B77="","",IF(G77="","À rembourser","Remboursé"))</f>
        <v/>
      </c>
      <c r="I77" s="11" t="n"/>
    </row>
    <row r="78">
      <c r="A78" s="21" t="n"/>
      <c r="B78" s="15" t="n"/>
      <c r="C78" s="23" t="n"/>
      <c r="D78" s="15" t="n"/>
      <c r="E78" s="20">
        <f>IF(C78="","",IF(D78="$",C78*'Paramètres'!$C$5,C78))</f>
        <v/>
      </c>
      <c r="F78" s="15" t="n"/>
      <c r="G78" s="21" t="n"/>
      <c r="H78" s="7">
        <f>IF(B78="","",IF(G78="","À rembourser","Remboursé"))</f>
        <v/>
      </c>
      <c r="I78" s="11" t="n"/>
    </row>
    <row r="79">
      <c r="A79" s="21" t="n"/>
      <c r="B79" s="15" t="n"/>
      <c r="C79" s="23" t="n"/>
      <c r="D79" s="15" t="n"/>
      <c r="E79" s="20">
        <f>IF(C79="","",IF(D79="$",C79*'Paramètres'!$C$5,C79))</f>
        <v/>
      </c>
      <c r="F79" s="15" t="n"/>
      <c r="G79" s="21" t="n"/>
      <c r="H79" s="7">
        <f>IF(B79="","",IF(G79="","À rembourser","Remboursé"))</f>
        <v/>
      </c>
      <c r="I79" s="11" t="n"/>
    </row>
    <row r="80">
      <c r="A80" s="21" t="n"/>
      <c r="B80" s="15" t="n"/>
      <c r="C80" s="23" t="n"/>
      <c r="D80" s="15" t="n"/>
      <c r="E80" s="20">
        <f>IF(C80="","",IF(D80="$",C80*'Paramètres'!$C$5,C80))</f>
        <v/>
      </c>
      <c r="F80" s="15" t="n"/>
      <c r="G80" s="21" t="n"/>
      <c r="H80" s="7">
        <f>IF(B80="","",IF(G80="","À rembourser","Remboursé"))</f>
        <v/>
      </c>
      <c r="I80" s="11" t="n"/>
    </row>
  </sheetData>
  <dataValidations count="2">
    <dataValidation sqref="F5:F80" showDropDown="0" showInputMessage="0" showErrorMessage="0" allowBlank="1" type="list">
      <formula1>"Daouda,Régis"</formula1>
    </dataValidation>
    <dataValidation sqref="D5:D80" showDropDown="0" showInputMessage="0" showErrorMessage="0" allowBlank="1" type="list">
      <formula1>"€,$"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3" customWidth="1" min="4" max="4"/>
    <col width="13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  <col width="40" customWidth="1" min="11" max="11"/>
  </cols>
  <sheetData>
    <row r="1">
      <c r="A1" s="4" t="inlineStr">
        <is>
          <t>Suivi réel mensuel</t>
        </is>
      </c>
    </row>
    <row r="2">
      <c r="A2" s="11" t="inlineStr">
        <is>
          <t>Chaque début de mois : saisir le réel du mois écoulé (factures, relevé bancaire, Stripe, Console Anthropic).</t>
        </is>
      </c>
    </row>
    <row r="4">
      <c r="A4" s="6" t="inlineStr">
        <is>
          <t>Mois</t>
        </is>
      </c>
      <c r="B4" s="6" t="inlineStr">
        <is>
          <t>Clients actifs réels</t>
        </is>
      </c>
      <c r="C4" s="6" t="inlineStr">
        <is>
          <t>Clients prévus</t>
        </is>
      </c>
      <c r="D4" s="6" t="inlineStr">
        <is>
          <t>CA réel</t>
        </is>
      </c>
      <c r="E4" s="6" t="inlineStr">
        <is>
          <t>CA prévu</t>
        </is>
      </c>
      <c r="F4" s="6" t="inlineStr">
        <is>
          <t>Charges réelles</t>
        </is>
      </c>
      <c r="G4" s="6" t="inlineStr">
        <is>
          <t>Charges prévues</t>
        </is>
      </c>
      <c r="H4" s="6" t="inlineStr">
        <is>
          <t>Résultat réel</t>
        </is>
      </c>
      <c r="I4" s="6" t="inlineStr">
        <is>
          <t>Résultat prévu</t>
        </is>
      </c>
      <c r="J4" s="6" t="inlineStr">
        <is>
          <t>Écart de résultat</t>
        </is>
      </c>
      <c r="K4" s="6" t="inlineStr">
        <is>
          <t>Commentaire</t>
        </is>
      </c>
    </row>
    <row r="5">
      <c r="A5" s="26">
        <f>'Projection'!B5</f>
        <v/>
      </c>
      <c r="B5" s="17" t="n"/>
      <c r="C5" s="27">
        <f>'Projection'!E5</f>
        <v/>
      </c>
      <c r="D5" s="22" t="n"/>
      <c r="E5" s="8">
        <f>'Projection'!L5</f>
        <v/>
      </c>
      <c r="F5" s="22" t="n"/>
      <c r="G5" s="8">
        <f>'Projection'!L5-'Projection'!R5</f>
        <v/>
      </c>
      <c r="H5" s="8">
        <f>IF(AND(D5="",F5=""),"",D5-F5)</f>
        <v/>
      </c>
      <c r="I5" s="8">
        <f>'Projection'!R5</f>
        <v/>
      </c>
      <c r="J5" s="8">
        <f>IF(H5="","",H5-I5)</f>
        <v/>
      </c>
      <c r="K5" s="15" t="n"/>
    </row>
    <row r="6">
      <c r="A6" s="26">
        <f>'Projection'!B6</f>
        <v/>
      </c>
      <c r="B6" s="17" t="n"/>
      <c r="C6" s="27">
        <f>'Projection'!E6</f>
        <v/>
      </c>
      <c r="D6" s="22" t="n"/>
      <c r="E6" s="8">
        <f>'Projection'!L6</f>
        <v/>
      </c>
      <c r="F6" s="22" t="n"/>
      <c r="G6" s="8">
        <f>'Projection'!L6-'Projection'!R6</f>
        <v/>
      </c>
      <c r="H6" s="8">
        <f>IF(AND(D6="",F6=""),"",D6-F6)</f>
        <v/>
      </c>
      <c r="I6" s="8">
        <f>'Projection'!R6</f>
        <v/>
      </c>
      <c r="J6" s="8">
        <f>IF(H6="","",H6-I6)</f>
        <v/>
      </c>
      <c r="K6" s="15" t="n"/>
    </row>
    <row r="7">
      <c r="A7" s="26">
        <f>'Projection'!B7</f>
        <v/>
      </c>
      <c r="B7" s="17" t="n"/>
      <c r="C7" s="27">
        <f>'Projection'!E7</f>
        <v/>
      </c>
      <c r="D7" s="22" t="n"/>
      <c r="E7" s="8">
        <f>'Projection'!L7</f>
        <v/>
      </c>
      <c r="F7" s="22" t="n"/>
      <c r="G7" s="8">
        <f>'Projection'!L7-'Projection'!R7</f>
        <v/>
      </c>
      <c r="H7" s="8">
        <f>IF(AND(D7="",F7=""),"",D7-F7)</f>
        <v/>
      </c>
      <c r="I7" s="8">
        <f>'Projection'!R7</f>
        <v/>
      </c>
      <c r="J7" s="8">
        <f>IF(H7="","",H7-I7)</f>
        <v/>
      </c>
      <c r="K7" s="15" t="n"/>
    </row>
    <row r="8">
      <c r="A8" s="26">
        <f>'Projection'!B8</f>
        <v/>
      </c>
      <c r="B8" s="17" t="n"/>
      <c r="C8" s="27">
        <f>'Projection'!E8</f>
        <v/>
      </c>
      <c r="D8" s="22" t="n"/>
      <c r="E8" s="8">
        <f>'Projection'!L8</f>
        <v/>
      </c>
      <c r="F8" s="22" t="n"/>
      <c r="G8" s="8">
        <f>'Projection'!L8-'Projection'!R8</f>
        <v/>
      </c>
      <c r="H8" s="8">
        <f>IF(AND(D8="",F8=""),"",D8-F8)</f>
        <v/>
      </c>
      <c r="I8" s="8">
        <f>'Projection'!R8</f>
        <v/>
      </c>
      <c r="J8" s="8">
        <f>IF(H8="","",H8-I8)</f>
        <v/>
      </c>
      <c r="K8" s="15" t="n"/>
    </row>
    <row r="9">
      <c r="A9" s="26">
        <f>'Projection'!B9</f>
        <v/>
      </c>
      <c r="B9" s="17" t="n"/>
      <c r="C9" s="27">
        <f>'Projection'!E9</f>
        <v/>
      </c>
      <c r="D9" s="22" t="n"/>
      <c r="E9" s="8">
        <f>'Projection'!L9</f>
        <v/>
      </c>
      <c r="F9" s="22" t="n"/>
      <c r="G9" s="8">
        <f>'Projection'!L9-'Projection'!R9</f>
        <v/>
      </c>
      <c r="H9" s="8">
        <f>IF(AND(D9="",F9=""),"",D9-F9)</f>
        <v/>
      </c>
      <c r="I9" s="8">
        <f>'Projection'!R9</f>
        <v/>
      </c>
      <c r="J9" s="8">
        <f>IF(H9="","",H9-I9)</f>
        <v/>
      </c>
      <c r="K9" s="15" t="n"/>
    </row>
    <row r="10">
      <c r="A10" s="26">
        <f>'Projection'!B10</f>
        <v/>
      </c>
      <c r="B10" s="17" t="n"/>
      <c r="C10" s="27">
        <f>'Projection'!E10</f>
        <v/>
      </c>
      <c r="D10" s="22" t="n"/>
      <c r="E10" s="8">
        <f>'Projection'!L10</f>
        <v/>
      </c>
      <c r="F10" s="22" t="n"/>
      <c r="G10" s="8">
        <f>'Projection'!L10-'Projection'!R10</f>
        <v/>
      </c>
      <c r="H10" s="8">
        <f>IF(AND(D10="",F10=""),"",D10-F10)</f>
        <v/>
      </c>
      <c r="I10" s="8">
        <f>'Projection'!R10</f>
        <v/>
      </c>
      <c r="J10" s="8">
        <f>IF(H10="","",H10-I10)</f>
        <v/>
      </c>
      <c r="K10" s="15" t="n"/>
    </row>
    <row r="11">
      <c r="A11" s="26">
        <f>'Projection'!B11</f>
        <v/>
      </c>
      <c r="B11" s="17" t="n"/>
      <c r="C11" s="27">
        <f>'Projection'!E11</f>
        <v/>
      </c>
      <c r="D11" s="22" t="n"/>
      <c r="E11" s="8">
        <f>'Projection'!L11</f>
        <v/>
      </c>
      <c r="F11" s="22" t="n"/>
      <c r="G11" s="8">
        <f>'Projection'!L11-'Projection'!R11</f>
        <v/>
      </c>
      <c r="H11" s="8">
        <f>IF(AND(D11="",F11=""),"",D11-F11)</f>
        <v/>
      </c>
      <c r="I11" s="8">
        <f>'Projection'!R11</f>
        <v/>
      </c>
      <c r="J11" s="8">
        <f>IF(H11="","",H11-I11)</f>
        <v/>
      </c>
      <c r="K11" s="15" t="n"/>
    </row>
    <row r="12">
      <c r="A12" s="26">
        <f>'Projection'!B12</f>
        <v/>
      </c>
      <c r="B12" s="17" t="n"/>
      <c r="C12" s="27">
        <f>'Projection'!E12</f>
        <v/>
      </c>
      <c r="D12" s="22" t="n"/>
      <c r="E12" s="8">
        <f>'Projection'!L12</f>
        <v/>
      </c>
      <c r="F12" s="22" t="n"/>
      <c r="G12" s="8">
        <f>'Projection'!L12-'Projection'!R12</f>
        <v/>
      </c>
      <c r="H12" s="8">
        <f>IF(AND(D12="",F12=""),"",D12-F12)</f>
        <v/>
      </c>
      <c r="I12" s="8">
        <f>'Projection'!R12</f>
        <v/>
      </c>
      <c r="J12" s="8">
        <f>IF(H12="","",H12-I12)</f>
        <v/>
      </c>
      <c r="K12" s="15" t="n"/>
    </row>
    <row r="13">
      <c r="A13" s="26">
        <f>'Projection'!B13</f>
        <v/>
      </c>
      <c r="B13" s="17" t="n"/>
      <c r="C13" s="27">
        <f>'Projection'!E13</f>
        <v/>
      </c>
      <c r="D13" s="22" t="n"/>
      <c r="E13" s="8">
        <f>'Projection'!L13</f>
        <v/>
      </c>
      <c r="F13" s="22" t="n"/>
      <c r="G13" s="8">
        <f>'Projection'!L13-'Projection'!R13</f>
        <v/>
      </c>
      <c r="H13" s="8">
        <f>IF(AND(D13="",F13=""),"",D13-F13)</f>
        <v/>
      </c>
      <c r="I13" s="8">
        <f>'Projection'!R13</f>
        <v/>
      </c>
      <c r="J13" s="8">
        <f>IF(H13="","",H13-I13)</f>
        <v/>
      </c>
      <c r="K13" s="15" t="n"/>
    </row>
    <row r="14">
      <c r="A14" s="26">
        <f>'Projection'!B14</f>
        <v/>
      </c>
      <c r="B14" s="17" t="n"/>
      <c r="C14" s="27">
        <f>'Projection'!E14</f>
        <v/>
      </c>
      <c r="D14" s="22" t="n"/>
      <c r="E14" s="8">
        <f>'Projection'!L14</f>
        <v/>
      </c>
      <c r="F14" s="22" t="n"/>
      <c r="G14" s="8">
        <f>'Projection'!L14-'Projection'!R14</f>
        <v/>
      </c>
      <c r="H14" s="8">
        <f>IF(AND(D14="",F14=""),"",D14-F14)</f>
        <v/>
      </c>
      <c r="I14" s="8">
        <f>'Projection'!R14</f>
        <v/>
      </c>
      <c r="J14" s="8">
        <f>IF(H14="","",H14-I14)</f>
        <v/>
      </c>
      <c r="K14" s="15" t="n"/>
    </row>
    <row r="15">
      <c r="A15" s="26">
        <f>'Projection'!B15</f>
        <v/>
      </c>
      <c r="B15" s="17" t="n"/>
      <c r="C15" s="27">
        <f>'Projection'!E15</f>
        <v/>
      </c>
      <c r="D15" s="22" t="n"/>
      <c r="E15" s="8">
        <f>'Projection'!L15</f>
        <v/>
      </c>
      <c r="F15" s="22" t="n"/>
      <c r="G15" s="8">
        <f>'Projection'!L15-'Projection'!R15</f>
        <v/>
      </c>
      <c r="H15" s="8">
        <f>IF(AND(D15="",F15=""),"",D15-F15)</f>
        <v/>
      </c>
      <c r="I15" s="8">
        <f>'Projection'!R15</f>
        <v/>
      </c>
      <c r="J15" s="8">
        <f>IF(H15="","",H15-I15)</f>
        <v/>
      </c>
      <c r="K15" s="15" t="n"/>
    </row>
    <row r="16">
      <c r="A16" s="26">
        <f>'Projection'!B16</f>
        <v/>
      </c>
      <c r="B16" s="17" t="n"/>
      <c r="C16" s="27">
        <f>'Projection'!E16</f>
        <v/>
      </c>
      <c r="D16" s="22" t="n"/>
      <c r="E16" s="8">
        <f>'Projection'!L16</f>
        <v/>
      </c>
      <c r="F16" s="22" t="n"/>
      <c r="G16" s="8">
        <f>'Projection'!L16-'Projection'!R16</f>
        <v/>
      </c>
      <c r="H16" s="8">
        <f>IF(AND(D16="",F16=""),"",D16-F16)</f>
        <v/>
      </c>
      <c r="I16" s="8">
        <f>'Projection'!R16</f>
        <v/>
      </c>
      <c r="J16" s="8">
        <f>IF(H16="","",H16-I16)</f>
        <v/>
      </c>
      <c r="K16" s="15" t="n"/>
    </row>
    <row r="17">
      <c r="A17" s="26">
        <f>'Projection'!B17</f>
        <v/>
      </c>
      <c r="B17" s="17" t="n"/>
      <c r="C17" s="27">
        <f>'Projection'!E17</f>
        <v/>
      </c>
      <c r="D17" s="22" t="n"/>
      <c r="E17" s="8">
        <f>'Projection'!L17</f>
        <v/>
      </c>
      <c r="F17" s="22" t="n"/>
      <c r="G17" s="8">
        <f>'Projection'!L17-'Projection'!R17</f>
        <v/>
      </c>
      <c r="H17" s="8">
        <f>IF(AND(D17="",F17=""),"",D17-F17)</f>
        <v/>
      </c>
      <c r="I17" s="8">
        <f>'Projection'!R17</f>
        <v/>
      </c>
      <c r="J17" s="8">
        <f>IF(H17="","",H17-I17)</f>
        <v/>
      </c>
      <c r="K17" s="15" t="n"/>
    </row>
    <row r="18">
      <c r="A18" s="26">
        <f>'Projection'!B18</f>
        <v/>
      </c>
      <c r="B18" s="17" t="n"/>
      <c r="C18" s="27">
        <f>'Projection'!E18</f>
        <v/>
      </c>
      <c r="D18" s="22" t="n"/>
      <c r="E18" s="8">
        <f>'Projection'!L18</f>
        <v/>
      </c>
      <c r="F18" s="22" t="n"/>
      <c r="G18" s="8">
        <f>'Projection'!L18-'Projection'!R18</f>
        <v/>
      </c>
      <c r="H18" s="8">
        <f>IF(AND(D18="",F18=""),"",D18-F18)</f>
        <v/>
      </c>
      <c r="I18" s="8">
        <f>'Projection'!R18</f>
        <v/>
      </c>
      <c r="J18" s="8">
        <f>IF(H18="","",H18-I18)</f>
        <v/>
      </c>
      <c r="K18" s="15" t="n"/>
    </row>
    <row r="19">
      <c r="A19" s="26">
        <f>'Projection'!B19</f>
        <v/>
      </c>
      <c r="B19" s="17" t="n"/>
      <c r="C19" s="27">
        <f>'Projection'!E19</f>
        <v/>
      </c>
      <c r="D19" s="22" t="n"/>
      <c r="E19" s="8">
        <f>'Projection'!L19</f>
        <v/>
      </c>
      <c r="F19" s="22" t="n"/>
      <c r="G19" s="8">
        <f>'Projection'!L19-'Projection'!R19</f>
        <v/>
      </c>
      <c r="H19" s="8">
        <f>IF(AND(D19="",F19=""),"",D19-F19)</f>
        <v/>
      </c>
      <c r="I19" s="8">
        <f>'Projection'!R19</f>
        <v/>
      </c>
      <c r="J19" s="8">
        <f>IF(H19="","",H19-I19)</f>
        <v/>
      </c>
      <c r="K19" s="15" t="n"/>
    </row>
    <row r="20">
      <c r="A20" s="26">
        <f>'Projection'!B20</f>
        <v/>
      </c>
      <c r="B20" s="17" t="n"/>
      <c r="C20" s="27">
        <f>'Projection'!E20</f>
        <v/>
      </c>
      <c r="D20" s="22" t="n"/>
      <c r="E20" s="8">
        <f>'Projection'!L20</f>
        <v/>
      </c>
      <c r="F20" s="22" t="n"/>
      <c r="G20" s="8">
        <f>'Projection'!L20-'Projection'!R20</f>
        <v/>
      </c>
      <c r="H20" s="8">
        <f>IF(AND(D20="",F20=""),"",D20-F20)</f>
        <v/>
      </c>
      <c r="I20" s="8">
        <f>'Projection'!R20</f>
        <v/>
      </c>
      <c r="J20" s="8">
        <f>IF(H20="","",H20-I20)</f>
        <v/>
      </c>
      <c r="K20" s="15" t="n"/>
    </row>
    <row r="21">
      <c r="A21" s="26">
        <f>'Projection'!B21</f>
        <v/>
      </c>
      <c r="B21" s="17" t="n"/>
      <c r="C21" s="27">
        <f>'Projection'!E21</f>
        <v/>
      </c>
      <c r="D21" s="22" t="n"/>
      <c r="E21" s="8">
        <f>'Projection'!L21</f>
        <v/>
      </c>
      <c r="F21" s="22" t="n"/>
      <c r="G21" s="8">
        <f>'Projection'!L21-'Projection'!R21</f>
        <v/>
      </c>
      <c r="H21" s="8">
        <f>IF(AND(D21="",F21=""),"",D21-F21)</f>
        <v/>
      </c>
      <c r="I21" s="8">
        <f>'Projection'!R21</f>
        <v/>
      </c>
      <c r="J21" s="8">
        <f>IF(H21="","",H21-I21)</f>
        <v/>
      </c>
      <c r="K21" s="15" t="n"/>
    </row>
    <row r="22">
      <c r="A22" s="26">
        <f>'Projection'!B22</f>
        <v/>
      </c>
      <c r="B22" s="17" t="n"/>
      <c r="C22" s="27">
        <f>'Projection'!E22</f>
        <v/>
      </c>
      <c r="D22" s="22" t="n"/>
      <c r="E22" s="8">
        <f>'Projection'!L22</f>
        <v/>
      </c>
      <c r="F22" s="22" t="n"/>
      <c r="G22" s="8">
        <f>'Projection'!L22-'Projection'!R22</f>
        <v/>
      </c>
      <c r="H22" s="8">
        <f>IF(AND(D22="",F22=""),"",D22-F22)</f>
        <v/>
      </c>
      <c r="I22" s="8">
        <f>'Projection'!R22</f>
        <v/>
      </c>
      <c r="J22" s="8">
        <f>IF(H22="","",H22-I22)</f>
        <v/>
      </c>
      <c r="K22" s="15" t="n"/>
    </row>
    <row r="23">
      <c r="A23" s="26">
        <f>'Projection'!B23</f>
        <v/>
      </c>
      <c r="B23" s="17" t="n"/>
      <c r="C23" s="27">
        <f>'Projection'!E23</f>
        <v/>
      </c>
      <c r="D23" s="22" t="n"/>
      <c r="E23" s="8">
        <f>'Projection'!L23</f>
        <v/>
      </c>
      <c r="F23" s="22" t="n"/>
      <c r="G23" s="8">
        <f>'Projection'!L23-'Projection'!R23</f>
        <v/>
      </c>
      <c r="H23" s="8">
        <f>IF(AND(D23="",F23=""),"",D23-F23)</f>
        <v/>
      </c>
      <c r="I23" s="8">
        <f>'Projection'!R23</f>
        <v/>
      </c>
      <c r="J23" s="8">
        <f>IF(H23="","",H23-I23)</f>
        <v/>
      </c>
      <c r="K23" s="15" t="n"/>
    </row>
    <row r="24">
      <c r="A24" s="26">
        <f>'Projection'!B24</f>
        <v/>
      </c>
      <c r="B24" s="17" t="n"/>
      <c r="C24" s="27">
        <f>'Projection'!E24</f>
        <v/>
      </c>
      <c r="D24" s="22" t="n"/>
      <c r="E24" s="8">
        <f>'Projection'!L24</f>
        <v/>
      </c>
      <c r="F24" s="22" t="n"/>
      <c r="G24" s="8">
        <f>'Projection'!L24-'Projection'!R24</f>
        <v/>
      </c>
      <c r="H24" s="8">
        <f>IF(AND(D24="",F24=""),"",D24-F24)</f>
        <v/>
      </c>
      <c r="I24" s="8">
        <f>'Projection'!R24</f>
        <v/>
      </c>
      <c r="J24" s="8">
        <f>IF(H24="","",H24-I24)</f>
        <v/>
      </c>
      <c r="K24" s="15" t="n"/>
    </row>
    <row r="25">
      <c r="A25" s="26">
        <f>'Projection'!B25</f>
        <v/>
      </c>
      <c r="B25" s="17" t="n"/>
      <c r="C25" s="27">
        <f>'Projection'!E25</f>
        <v/>
      </c>
      <c r="D25" s="22" t="n"/>
      <c r="E25" s="8">
        <f>'Projection'!L25</f>
        <v/>
      </c>
      <c r="F25" s="22" t="n"/>
      <c r="G25" s="8">
        <f>'Projection'!L25-'Projection'!R25</f>
        <v/>
      </c>
      <c r="H25" s="8">
        <f>IF(AND(D25="",F25=""),"",D25-F25)</f>
        <v/>
      </c>
      <c r="I25" s="8">
        <f>'Projection'!R25</f>
        <v/>
      </c>
      <c r="J25" s="8">
        <f>IF(H25="","",H25-I25)</f>
        <v/>
      </c>
      <c r="K25" s="15" t="n"/>
    </row>
    <row r="26">
      <c r="A26" s="26">
        <f>'Projection'!B26</f>
        <v/>
      </c>
      <c r="B26" s="17" t="n"/>
      <c r="C26" s="27">
        <f>'Projection'!E26</f>
        <v/>
      </c>
      <c r="D26" s="22" t="n"/>
      <c r="E26" s="8">
        <f>'Projection'!L26</f>
        <v/>
      </c>
      <c r="F26" s="22" t="n"/>
      <c r="G26" s="8">
        <f>'Projection'!L26-'Projection'!R26</f>
        <v/>
      </c>
      <c r="H26" s="8">
        <f>IF(AND(D26="",F26=""),"",D26-F26)</f>
        <v/>
      </c>
      <c r="I26" s="8">
        <f>'Projection'!R26</f>
        <v/>
      </c>
      <c r="J26" s="8">
        <f>IF(H26="","",H26-I26)</f>
        <v/>
      </c>
      <c r="K26" s="15" t="n"/>
    </row>
    <row r="27">
      <c r="A27" s="26">
        <f>'Projection'!B27</f>
        <v/>
      </c>
      <c r="B27" s="17" t="n"/>
      <c r="C27" s="27">
        <f>'Projection'!E27</f>
        <v/>
      </c>
      <c r="D27" s="22" t="n"/>
      <c r="E27" s="8">
        <f>'Projection'!L27</f>
        <v/>
      </c>
      <c r="F27" s="22" t="n"/>
      <c r="G27" s="8">
        <f>'Projection'!L27-'Projection'!R27</f>
        <v/>
      </c>
      <c r="H27" s="8">
        <f>IF(AND(D27="",F27=""),"",D27-F27)</f>
        <v/>
      </c>
      <c r="I27" s="8">
        <f>'Projection'!R27</f>
        <v/>
      </c>
      <c r="J27" s="8">
        <f>IF(H27="","",H27-I27)</f>
        <v/>
      </c>
      <c r="K27" s="15" t="n"/>
    </row>
    <row r="28">
      <c r="A28" s="26">
        <f>'Projection'!B28</f>
        <v/>
      </c>
      <c r="B28" s="17" t="n"/>
      <c r="C28" s="27">
        <f>'Projection'!E28</f>
        <v/>
      </c>
      <c r="D28" s="22" t="n"/>
      <c r="E28" s="8">
        <f>'Projection'!L28</f>
        <v/>
      </c>
      <c r="F28" s="22" t="n"/>
      <c r="G28" s="8">
        <f>'Projection'!L28-'Projection'!R28</f>
        <v/>
      </c>
      <c r="H28" s="8">
        <f>IF(AND(D28="",F28=""),"",D28-F28)</f>
        <v/>
      </c>
      <c r="I28" s="8">
        <f>'Projection'!R28</f>
        <v/>
      </c>
      <c r="J28" s="8">
        <f>IF(H28="","",H28-I28)</f>
        <v/>
      </c>
      <c r="K28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2026-10-04T10:14:13Z</dcterms:created>
  <dcterms:modified xsi:type="dcterms:W3CDTF">2026-10-04T10:14:13Z</dcterms:modified>
</cp:coreProperties>
</file>